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明细" sheetId="2" state="visible" r:id="rId2"/>
    <sheet xmlns:r="http://schemas.openxmlformats.org/officeDocument/2006/relationships" name="图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黑体"/>
      <b val="1"/>
      <sz val="16"/>
    </font>
    <font>
      <name val="宋体"/>
      <color rgb="00808080"/>
      <sz val="9"/>
    </font>
    <font>
      <name val="黑体"/>
      <b val="1"/>
      <sz val="11"/>
    </font>
    <font>
      <name val="宋体"/>
      <sz val="11"/>
    </font>
    <font>
      <name val="宋体"/>
      <b val="1"/>
      <sz val="11"/>
    </font>
    <font>
      <name val="宋体"/>
      <color rgb="00404040"/>
      <sz val="10"/>
    </font>
    <font>
      <name val="黑体"/>
      <b val="1"/>
      <sz val="13"/>
    </font>
    <font>
      <name val="Consolas"/>
      <sz val="10"/>
    </font>
    <font>
      <name val="宋体"/>
      <sz val="10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" fontId="0" fillId="0" borderId="1" pivotButton="0" quotePrefix="0" xfId="0"/>
    <xf numFmtId="4" fontId="5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3" fillId="3" borderId="1" pivotButton="0" quotePrefix="0" xfId="0"/>
    <xf numFmtId="0" fontId="0" fillId="3" borderId="1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3" fillId="2" borderId="0" pivotButton="0" quotePrefix="0" xfId="0"/>
    <xf numFmtId="2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CE4D6"/>
          <b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 年 1-12 月费用趋势（柱状）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'图表'!B1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'图表'!$A$2:$A$13</f>
            </numRef>
          </cat>
          <val>
            <numRef>
              <f>'图表'!$B$2:$B$13</f>
            </numRef>
          </val>
        </ser>
        <ser>
          <idx val="1"/>
          <order val="1"/>
          <tx>
            <strRef>
              <f>'图表'!C1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'图表'!$A$2:$A$13</f>
            </numRef>
          </cat>
          <val>
            <numRef>
              <f>'图表'!$C$2:$C$13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费用趋势（折线）</a:t>
            </a:r>
          </a:p>
        </rich>
      </tx>
    </title>
    <plotArea>
      <lineChart>
        <grouping val="standard"/>
        <ser>
          <idx val="0"/>
          <order val="0"/>
          <tx>
            <strRef>
              <f>'图表'!B1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'图表'!$A$2:$A$13</f>
            </numRef>
          </cat>
          <val>
            <numRef>
              <f>'图表'!$B$2:$B$13</f>
            </numRef>
          </val>
        </ser>
        <ser>
          <idx val="1"/>
          <order val="1"/>
          <tx>
            <strRef>
              <f>'图表'!C1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'图表'!$A$2:$A$13</f>
            </numRef>
          </cat>
          <val>
            <numRef>
              <f>'图表'!$C$2:$C$13</f>
            </numRef>
          </val>
        </ser>
        <axId val="10"/>
        <axId val="100"/>
      </lineChart>
      <catAx>
        <axId val="10"/>
        <scaling>
          <orientation val="minMax"/>
        </scaling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各部门费用合计（元）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'汇总'!E3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'汇总'!$A$4:$A$11</f>
            </numRef>
          </cat>
          <val>
            <numRef>
              <f>'汇总'!$E$4:$E$11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37</row>
      <rowOff>0</rowOff>
    </from>
    <ext cx="612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4" customWidth="1" min="5" max="5"/>
    <col width="9" customWidth="1" min="6" max="6"/>
    <col width="10" customWidth="1" min="7" max="7"/>
  </cols>
  <sheetData>
    <row r="1" ht="26" customHeight="1">
      <c r="A1" s="1" t="inlineStr">
        <is>
          <t>利镖链路 · 部门费用汇总表（2026 年 8 月）</t>
        </is>
      </c>
    </row>
    <row r="2">
      <c r="A2" s="2" t="inlineStr">
        <is>
          <t>金额单位：元；口径：截至 2026-08-31 已入账费用；制表：财务部（数据为构造样例）</t>
        </is>
      </c>
    </row>
    <row r="3">
      <c r="A3" s="3" t="inlineStr">
        <is>
          <t>部门</t>
        </is>
      </c>
      <c r="B3" s="3" t="inlineStr">
        <is>
          <t>差旅费</t>
        </is>
      </c>
      <c r="C3" s="3" t="inlineStr">
        <is>
          <t>办公费</t>
        </is>
      </c>
      <c r="D3" s="3" t="inlineStr">
        <is>
          <t>培训费</t>
        </is>
      </c>
      <c r="E3" s="3" t="inlineStr">
        <is>
          <t>合计</t>
        </is>
      </c>
      <c r="F3" s="3" t="inlineStr">
        <is>
          <t>环比</t>
        </is>
      </c>
      <c r="G3" s="3" t="inlineStr">
        <is>
          <t>状态</t>
        </is>
      </c>
    </row>
    <row r="4">
      <c r="A4" s="4" t="inlineStr">
        <is>
          <t>研发中心</t>
        </is>
      </c>
      <c r="B4" s="5" t="n">
        <v>3200.37</v>
      </c>
      <c r="C4" s="5" t="n">
        <v>2100.52</v>
      </c>
      <c r="D4" s="5" t="n">
        <v>1800.18</v>
      </c>
      <c r="E4" s="6">
        <f>SUM(B4:D4)</f>
        <v/>
      </c>
      <c r="F4" s="7" t="inlineStr">
        <is>
          <t>—</t>
        </is>
      </c>
      <c r="G4" s="4" t="inlineStr">
        <is>
          <t>已完成</t>
        </is>
      </c>
    </row>
    <row r="5">
      <c r="A5" s="4" t="inlineStr">
        <is>
          <t>市场部</t>
        </is>
      </c>
      <c r="B5" s="5" t="n">
        <v>3817.37</v>
      </c>
      <c r="C5" s="5" t="n">
        <v>2531.52</v>
      </c>
      <c r="D5" s="5" t="n">
        <v>2077.18</v>
      </c>
      <c r="E5" s="6">
        <f>SUM(B5:D5)</f>
        <v/>
      </c>
      <c r="F5" s="7">
        <f>IFERROR((E5-E4)/E4,"—")</f>
        <v/>
      </c>
      <c r="G5" s="4" t="inlineStr">
        <is>
          <t>进行中</t>
        </is>
      </c>
    </row>
    <row r="6">
      <c r="A6" s="4" t="inlineStr">
        <is>
          <t>财务部</t>
        </is>
      </c>
      <c r="B6" s="5" t="n">
        <v>4434.37</v>
      </c>
      <c r="C6" s="5" t="n">
        <v>2962.52</v>
      </c>
      <c r="D6" s="5" t="n">
        <v>2354.18</v>
      </c>
      <c r="E6" s="6">
        <f>SUM(B6:D6)</f>
        <v/>
      </c>
      <c r="F6" s="7">
        <f>IFERROR((E6-E5)/E5,"—")</f>
        <v/>
      </c>
      <c r="G6" s="4" t="inlineStr">
        <is>
          <t>超支</t>
        </is>
      </c>
    </row>
    <row r="7">
      <c r="A7" s="4" t="inlineStr">
        <is>
          <t>人力资源部</t>
        </is>
      </c>
      <c r="B7" s="5" t="n">
        <v>5051.37</v>
      </c>
      <c r="C7" s="5" t="n">
        <v>3393.52</v>
      </c>
      <c r="D7" s="5" t="n">
        <v>2631.18</v>
      </c>
      <c r="E7" s="6">
        <f>SUM(B7:D7)</f>
        <v/>
      </c>
      <c r="F7" s="7">
        <f>IFERROR((E7-E6)/E6,"—")</f>
        <v/>
      </c>
      <c r="G7" s="4" t="inlineStr">
        <is>
          <t>进行中</t>
        </is>
      </c>
    </row>
    <row r="8">
      <c r="A8" s="4" t="inlineStr">
        <is>
          <t>生产制造部</t>
        </is>
      </c>
      <c r="B8" s="5" t="n">
        <v>5668.37</v>
      </c>
      <c r="C8" s="5" t="n">
        <v>3824.52</v>
      </c>
      <c r="D8" s="5" t="n">
        <v>2908.18</v>
      </c>
      <c r="E8" s="6">
        <f>SUM(B8:D8)</f>
        <v/>
      </c>
      <c r="F8" s="7">
        <f>IFERROR((E8-E7)/E7,"—")</f>
        <v/>
      </c>
      <c r="G8" s="4" t="inlineStr">
        <is>
          <t>已完成</t>
        </is>
      </c>
    </row>
    <row r="9">
      <c r="A9" s="4" t="inlineStr">
        <is>
          <t>质量管理部</t>
        </is>
      </c>
      <c r="B9" s="5" t="n">
        <v>6285.37</v>
      </c>
      <c r="C9" s="5" t="n">
        <v>4255.52</v>
      </c>
      <c r="D9" s="5" t="n">
        <v>3185.18</v>
      </c>
      <c r="E9" s="6">
        <f>SUM(B9:D9)</f>
        <v/>
      </c>
      <c r="F9" s="7">
        <f>IFERROR((E9-E8)/E8,"—")</f>
        <v/>
      </c>
      <c r="G9" s="4" t="inlineStr">
        <is>
          <t>进行中</t>
        </is>
      </c>
    </row>
    <row r="10">
      <c r="A10" s="4" t="inlineStr">
        <is>
          <t>供应链部</t>
        </is>
      </c>
      <c r="B10" s="5" t="n">
        <v>6902.37</v>
      </c>
      <c r="C10" s="5" t="n">
        <v>4686.52</v>
      </c>
      <c r="D10" s="5" t="n">
        <v>3462.18</v>
      </c>
      <c r="E10" s="6">
        <f>SUM(B10:D10)</f>
        <v/>
      </c>
      <c r="F10" s="7">
        <f>IFERROR((E10-E9)/E9,"—")</f>
        <v/>
      </c>
      <c r="G10" s="4" t="inlineStr">
        <is>
          <t>已完成</t>
        </is>
      </c>
    </row>
    <row r="11">
      <c r="A11" s="4" t="inlineStr">
        <is>
          <t>客户服务部</t>
        </is>
      </c>
      <c r="B11" s="5" t="n">
        <v>3319.37</v>
      </c>
      <c r="C11" s="5" t="n">
        <v>5117.52</v>
      </c>
      <c r="D11" s="5" t="n">
        <v>3739.18</v>
      </c>
      <c r="E11" s="6">
        <f>SUM(B11:D11)</f>
        <v/>
      </c>
      <c r="F11" s="7">
        <f>IFERROR((E11-E10)/E10,"—")</f>
        <v/>
      </c>
      <c r="G11" s="4" t="inlineStr">
        <is>
          <t>进行中</t>
        </is>
      </c>
    </row>
    <row r="12">
      <c r="A12" s="8" t="inlineStr">
        <is>
          <t>合计</t>
        </is>
      </c>
      <c r="B12" s="9">
        <f>SUM(B4:B11)</f>
        <v/>
      </c>
      <c r="C12" s="9">
        <f>SUM(C4:C11)</f>
        <v/>
      </c>
      <c r="D12" s="9">
        <f>SUM(D4:D11)</f>
        <v/>
      </c>
      <c r="E12" s="9">
        <f>SUM(E4:E11)</f>
        <v/>
      </c>
      <c r="F12" s="10" t="inlineStr"/>
    </row>
    <row r="13">
      <c r="A13" s="11" t="inlineStr">
        <is>
          <t>明细笔数（跨表统计）</t>
        </is>
      </c>
      <c r="B13" s="12">
        <f>COUNTA(明细!B4:B15)</f>
        <v/>
      </c>
      <c r="C13" s="11" t="inlineStr">
        <is>
          <t>培训费占比</t>
        </is>
      </c>
      <c r="D13" s="13">
        <f>IFERROR(D12/E12,0)</f>
        <v/>
      </c>
    </row>
  </sheetData>
  <mergeCells count="2">
    <mergeCell ref="A2:F2"/>
    <mergeCell ref="A1:F1"/>
  </mergeCells>
  <conditionalFormatting sqref="E4:E1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:B11">
    <cfRule type="dataBar" priority="2">
      <dataBar>
        <cfvo type="min"/>
        <cfvo type="max"/>
        <color rgb="00638EC6"/>
      </dataBar>
    </cfRule>
  </conditionalFormatting>
  <conditionalFormatting sqref="D4:D11">
    <cfRule type="cellIs" priority="3" operator="greaterThan" dxfId="0">
      <formula>6000</formula>
    </cfRule>
  </conditionalFormatting>
  <dataValidations count="1">
    <dataValidation sqref="G4:G11" showDropDown="0" showInputMessage="0" showErrorMessage="0" allowBlank="1" type="list">
      <formula1>"已完成,进行中,超支"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3" customWidth="1" min="4" max="4"/>
    <col width="17" customWidth="1" min="5" max="5"/>
    <col width="34" customWidth="1" min="6" max="6"/>
  </cols>
  <sheetData>
    <row r="1" ht="22" customHeight="1">
      <c r="A1" s="14" t="inlineStr">
        <is>
          <t>费用明细（2026 年 8 月 · 节选 12 笔）</t>
        </is>
      </c>
    </row>
    <row r="3">
      <c r="A3" s="3" t="inlineStr">
        <is>
          <t>日期</t>
        </is>
      </c>
      <c r="B3" s="3" t="inlineStr">
        <is>
          <t>部门</t>
        </is>
      </c>
      <c r="C3" s="3" t="inlineStr">
        <is>
          <t>费用类别</t>
        </is>
      </c>
      <c r="D3" s="3" t="inlineStr">
        <is>
          <t>金额</t>
        </is>
      </c>
      <c r="E3" s="3" t="inlineStr">
        <is>
          <t>发票号</t>
        </is>
      </c>
      <c r="F3" s="3" t="inlineStr">
        <is>
          <t>备注</t>
        </is>
      </c>
    </row>
    <row r="4">
      <c r="A4" s="15" t="inlineStr">
        <is>
          <t>2026-08-01</t>
        </is>
      </c>
      <c r="B4" s="15" t="inlineStr">
        <is>
          <t>研发中心</t>
        </is>
      </c>
      <c r="C4" s="15" t="inlineStr">
        <is>
          <t>差旅费</t>
        </is>
      </c>
      <c r="D4" s="5" t="n">
        <v>880.66</v>
      </c>
      <c r="E4" s="16" t="inlineStr">
        <is>
          <t>FP-202608-0001</t>
        </is>
      </c>
      <c r="F4" s="17" t="inlineStr">
        <is>
          <t>市内交通与住宿；含增值税专用发票</t>
        </is>
      </c>
    </row>
    <row r="5">
      <c r="A5" s="15" t="inlineStr">
        <is>
          <t>2026-08-02</t>
        </is>
      </c>
      <c r="B5" s="15" t="inlineStr">
        <is>
          <t>人力资源部</t>
        </is>
      </c>
      <c r="C5" s="15" t="inlineStr">
        <is>
          <t>办公费</t>
        </is>
      </c>
      <c r="D5" s="5" t="n">
        <v>4259.66</v>
      </c>
      <c r="E5" s="16" t="inlineStr">
        <is>
          <t>FP-202608-0002</t>
        </is>
      </c>
      <c r="F5" s="17" t="inlineStr">
        <is>
          <t>办公耗材补货（纸张、硒鼓）</t>
        </is>
      </c>
    </row>
    <row r="6">
      <c r="A6" s="15" t="inlineStr">
        <is>
          <t>2026-08-03</t>
        </is>
      </c>
      <c r="B6" s="15" t="inlineStr">
        <is>
          <t>供应链部</t>
        </is>
      </c>
      <c r="C6" s="15" t="inlineStr">
        <is>
          <t>培训费</t>
        </is>
      </c>
      <c r="D6" s="5" t="n">
        <v>7638.66</v>
      </c>
      <c r="E6" s="16" t="inlineStr">
        <is>
          <t>FP-202608-0003</t>
        </is>
      </c>
      <c r="F6" s="17" t="inlineStr">
        <is>
          <t>外部培训：项目管理实战（2 天）</t>
        </is>
      </c>
    </row>
    <row r="7">
      <c r="A7" s="15" t="inlineStr">
        <is>
          <t>2026-08-04</t>
        </is>
      </c>
      <c r="B7" s="15" t="inlineStr">
        <is>
          <t>市场部</t>
        </is>
      </c>
      <c r="C7" s="15" t="inlineStr">
        <is>
          <t>差旅费</t>
        </is>
      </c>
      <c r="D7" s="5" t="n">
        <v>11017.66</v>
      </c>
      <c r="E7" s="16" t="inlineStr">
        <is>
          <t>FP-202608-0004</t>
        </is>
      </c>
      <c r="F7" s="17" t="inlineStr">
        <is>
          <t>跨省出差：客户现场支持</t>
        </is>
      </c>
    </row>
    <row r="8">
      <c r="A8" s="15" t="inlineStr">
        <is>
          <t>2026-08-05</t>
        </is>
      </c>
      <c r="B8" s="15" t="inlineStr">
        <is>
          <t>生产制造部</t>
        </is>
      </c>
      <c r="C8" s="15" t="inlineStr">
        <is>
          <t>办公费</t>
        </is>
      </c>
      <c r="D8" s="5" t="n">
        <v>14396.66</v>
      </c>
      <c r="E8" s="16" t="inlineStr">
        <is>
          <t>FP-202608-0005</t>
        </is>
      </c>
      <c r="F8" s="17" t="inlineStr">
        <is>
          <t>会议室设备维修</t>
        </is>
      </c>
    </row>
    <row r="9">
      <c r="A9" s="15" t="inlineStr">
        <is>
          <t>2026-08-06</t>
        </is>
      </c>
      <c r="B9" s="15" t="inlineStr">
        <is>
          <t>客户服务部</t>
        </is>
      </c>
      <c r="C9" s="15" t="inlineStr">
        <is>
          <t>培训费</t>
        </is>
      </c>
      <c r="D9" s="5" t="n">
        <v>17775.66</v>
      </c>
      <c r="E9" s="16" t="inlineStr">
        <is>
          <t>FP-202608-0006</t>
        </is>
      </c>
      <c r="F9" s="17" t="inlineStr">
        <is>
          <t>内训讲师费（含税）</t>
        </is>
      </c>
    </row>
    <row r="10">
      <c r="A10" s="15" t="inlineStr">
        <is>
          <t>2026-08-07</t>
        </is>
      </c>
      <c r="B10" s="15" t="inlineStr">
        <is>
          <t>财务部</t>
        </is>
      </c>
      <c r="C10" s="15" t="inlineStr">
        <is>
          <t>差旅费</t>
        </is>
      </c>
      <c r="D10" s="5" t="n">
        <v>21154.66</v>
      </c>
      <c r="E10" s="16" t="inlineStr">
        <is>
          <t>FP-202608-0007</t>
        </is>
      </c>
      <c r="F10" s="17" t="inlineStr">
        <is>
          <t>样品快递费</t>
        </is>
      </c>
    </row>
    <row r="11">
      <c r="A11" s="15" t="inlineStr">
        <is>
          <t>2026-08-08</t>
        </is>
      </c>
      <c r="B11" s="15" t="inlineStr">
        <is>
          <t>质量管理部</t>
        </is>
      </c>
      <c r="C11" s="15" t="inlineStr">
        <is>
          <t>办公费</t>
        </is>
      </c>
      <c r="D11" s="5" t="n">
        <v>24533.66</v>
      </c>
      <c r="E11" s="16" t="inlineStr">
        <is>
          <t>FP-202608-0008</t>
        </is>
      </c>
      <c r="F11" s="17" t="inlineStr">
        <is>
          <t>团队建设活动</t>
        </is>
      </c>
    </row>
    <row r="12">
      <c r="A12" s="15" t="inlineStr">
        <is>
          <t>2026-08-09</t>
        </is>
      </c>
      <c r="B12" s="15" t="inlineStr">
        <is>
          <t>研发中心</t>
        </is>
      </c>
      <c r="C12" s="15" t="inlineStr">
        <is>
          <t>培训费</t>
        </is>
      </c>
      <c r="D12" s="5" t="n">
        <v>27912.66</v>
      </c>
      <c r="E12" s="16" t="inlineStr">
        <is>
          <t>FP-202608-0009</t>
        </is>
      </c>
      <c r="F12" s="17" t="inlineStr">
        <is>
          <t>检测仪器校准费</t>
        </is>
      </c>
    </row>
    <row r="13">
      <c r="A13" s="15" t="inlineStr">
        <is>
          <t>2026-08-10</t>
        </is>
      </c>
      <c r="B13" s="15" t="inlineStr">
        <is>
          <t>人力资源部</t>
        </is>
      </c>
      <c r="C13" s="15" t="inlineStr">
        <is>
          <t>差旅费</t>
        </is>
      </c>
      <c r="D13" s="5" t="n">
        <v>31291.66</v>
      </c>
      <c r="E13" s="16" t="inlineStr">
        <is>
          <t>FP-202608-0010</t>
        </is>
      </c>
      <c r="F13" s="17" t="inlineStr">
        <is>
          <t>软件订阅续费（年度）</t>
        </is>
      </c>
    </row>
    <row r="14">
      <c r="A14" s="15" t="inlineStr">
        <is>
          <t>2026-08-11</t>
        </is>
      </c>
      <c r="B14" s="15" t="inlineStr">
        <is>
          <t>供应链部</t>
        </is>
      </c>
      <c r="C14" s="15" t="inlineStr">
        <is>
          <t>办公费</t>
        </is>
      </c>
      <c r="D14" s="5" t="n">
        <v>34670.66</v>
      </c>
      <c r="E14" s="16" t="inlineStr">
        <is>
          <t>FP-202608-0011</t>
        </is>
      </c>
      <c r="F14" s="17" t="inlineStr">
        <is>
          <t>安全防护用品采购</t>
        </is>
      </c>
    </row>
    <row r="15">
      <c r="A15" s="15" t="inlineStr">
        <is>
          <t>2026-08-12</t>
        </is>
      </c>
      <c r="B15" s="15" t="inlineStr">
        <is>
          <t>市场部</t>
        </is>
      </c>
      <c r="C15" s="15" t="inlineStr">
        <is>
          <t>培训费</t>
        </is>
      </c>
      <c r="D15" s="5" t="n">
        <v>38049.66</v>
      </c>
      <c r="E15" s="16" t="inlineStr">
        <is>
          <t>FP-202608-0012</t>
        </is>
      </c>
      <c r="F15" s="17" t="inlineStr">
        <is>
          <t>客户答谢会物料</t>
        </is>
      </c>
    </row>
    <row r="16">
      <c r="A16" s="8" t="inlineStr">
        <is>
          <t>合计</t>
        </is>
      </c>
      <c r="B16" s="8">
        <f>COUNTA(B4:B15)</f>
        <v/>
      </c>
      <c r="C16" s="18" t="inlineStr">
        <is>
          <t>笔数</t>
        </is>
      </c>
      <c r="D16" s="9">
        <f>SUM(D4:D15)</f>
        <v/>
      </c>
    </row>
  </sheetData>
  <mergeCells count="1">
    <mergeCell ref="A1:F1"/>
  </mergeCells>
  <conditionalFormatting sqref="D4:D15">
    <cfRule type="cellIs" priority="1" operator="greaterThan" dxfId="1">
      <formula>20000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4" customWidth="1" min="4" max="4"/>
    <col width="18" customWidth="1" min="5" max="5"/>
    <col width="18" customWidth="1" min="6" max="6"/>
  </cols>
  <sheetData>
    <row r="1">
      <c r="A1" s="19" t="inlineStr">
        <is>
          <t>月份</t>
        </is>
      </c>
      <c r="B1" s="19" t="inlineStr">
        <is>
          <t>差旅费（万元）</t>
        </is>
      </c>
      <c r="C1" s="19" t="inlineStr">
        <is>
          <t>办公费（万元）</t>
        </is>
      </c>
    </row>
    <row r="2">
      <c r="A2" t="inlineStr">
        <is>
          <t>1 月</t>
        </is>
      </c>
      <c r="B2" s="20" t="n">
        <v>3.2</v>
      </c>
      <c r="C2" s="20" t="n">
        <v>2.4</v>
      </c>
    </row>
    <row r="3">
      <c r="A3" t="inlineStr">
        <is>
          <t>2 月</t>
        </is>
      </c>
      <c r="B3" s="20" t="n">
        <v>3.9</v>
      </c>
      <c r="C3" s="20" t="n">
        <v>2.9</v>
      </c>
    </row>
    <row r="4">
      <c r="A4" t="inlineStr">
        <is>
          <t>3 月</t>
        </is>
      </c>
      <c r="B4" s="20" t="n">
        <v>3.3</v>
      </c>
      <c r="C4" s="20" t="n">
        <v>3.4</v>
      </c>
    </row>
    <row r="5">
      <c r="A5" t="inlineStr">
        <is>
          <t>4 月</t>
        </is>
      </c>
      <c r="B5" s="20" t="n">
        <v>4</v>
      </c>
      <c r="C5" s="20" t="n">
        <v>2.8</v>
      </c>
    </row>
    <row r="6">
      <c r="A6" t="inlineStr">
        <is>
          <t>5 月</t>
        </is>
      </c>
      <c r="B6" s="20" t="n">
        <v>3.4</v>
      </c>
      <c r="C6" s="20" t="n">
        <v>3.3</v>
      </c>
    </row>
    <row r="7">
      <c r="A7" t="inlineStr">
        <is>
          <t>6 月</t>
        </is>
      </c>
      <c r="B7" s="20" t="n">
        <v>4.1</v>
      </c>
      <c r="C7" s="20" t="n">
        <v>2.7</v>
      </c>
    </row>
    <row r="8">
      <c r="A8" t="inlineStr">
        <is>
          <t>7 月</t>
        </is>
      </c>
      <c r="B8" s="20" t="n">
        <v>3.5</v>
      </c>
      <c r="C8" s="20" t="n">
        <v>3.2</v>
      </c>
    </row>
    <row r="9">
      <c r="A9" t="inlineStr">
        <is>
          <t>8 月</t>
        </is>
      </c>
      <c r="B9" s="20" t="n">
        <v>4.2</v>
      </c>
      <c r="C9" s="20" t="n">
        <v>2.6</v>
      </c>
    </row>
    <row r="10">
      <c r="A10" t="inlineStr">
        <is>
          <t>9 月</t>
        </is>
      </c>
      <c r="B10" s="20" t="n">
        <v>3.6</v>
      </c>
      <c r="C10" s="20" t="n">
        <v>3.1</v>
      </c>
    </row>
    <row r="11">
      <c r="A11" t="inlineStr">
        <is>
          <t>10 月</t>
        </is>
      </c>
      <c r="B11" s="20" t="n">
        <v>4.3</v>
      </c>
      <c r="C11" s="20" t="n">
        <v>2.5</v>
      </c>
    </row>
    <row r="12">
      <c r="A12" t="inlineStr">
        <is>
          <t>11 月</t>
        </is>
      </c>
      <c r="B12" s="20" t="n">
        <v>3.7</v>
      </c>
      <c r="C12" s="20" t="n">
        <v>3</v>
      </c>
    </row>
    <row r="13">
      <c r="A13" t="inlineStr">
        <is>
          <t>12 月</t>
        </is>
      </c>
      <c r="B13" s="20" t="n">
        <v>4.4</v>
      </c>
      <c r="C13" s="20" t="n">
        <v>2.4</v>
      </c>
    </row>
    <row r="16">
      <c r="A16" s="21" t="inlineStr">
        <is>
          <t>数据为构造样例，仅用于渲染保真度比对。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LibiaoLink PoC-10 (N1 fidelity samples)</dc:creator>
  <dcterms:created xmlns:dcterms="http://purl.org/dc/terms/" xmlns:xsi="http://www.w3.org/2001/XMLSchema-instance" xsi:type="dcterms:W3CDTF">2026-09-30T12:00:00Z</dcterms:created>
  <dcterms:modified xmlns:dcterms="http://purl.org/dc/terms/" xmlns:xsi="http://www.w3.org/2001/XMLSchema-instance" xsi:type="dcterms:W3CDTF">2026-09-30T12:00:00Z</dcterms:modified>
  <cp:lastModifiedBy>LibiaoLink PoC-10 (N1 fidelity samples)</cp:lastModifiedBy>
</cp:coreProperties>
</file>
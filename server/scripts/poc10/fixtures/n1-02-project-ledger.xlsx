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台账" sheetId="1" state="visible" r:id="rId1"/>
    <sheet xmlns:r="http://schemas.openxmlformats.org/officeDocument/2006/relationships" name="统计" sheetId="2" state="visible" r:id="rId2"/>
  </sheets>
  <definedNames>
    <definedName name="_xlnm._FilterDatabase" localSheetId="0" hidden="1">'台账'!$A$4:$K$1203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黑体"/>
      <b val="1"/>
      <sz val="15"/>
    </font>
    <font>
      <name val="宋体"/>
      <color rgb="00808080"/>
      <sz val="9"/>
    </font>
    <font>
      <name val="黑体"/>
      <b val="1"/>
      <sz val="10"/>
    </font>
    <font>
      <name val="Consolas"/>
      <sz val="10"/>
    </font>
    <font>
      <name val="宋体"/>
      <sz val="10"/>
    </font>
    <font>
      <name val="黑体"/>
      <b val="1"/>
      <sz val="13"/>
    </font>
    <font>
      <name val="宋体"/>
      <sz val="11"/>
    </font>
    <font>
      <name val="宋体"/>
      <b val="1"/>
      <sz val="11"/>
    </font>
    <font>
      <name val="黑体"/>
      <b val="1"/>
      <sz val="11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0" fontId="6" fillId="0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3" fontId="8" fillId="0" borderId="1" applyAlignment="1" pivotButton="0" quotePrefix="0" xfId="0">
      <alignment horizontal="right" vertical="center"/>
    </xf>
    <xf numFmtId="4" fontId="8" fillId="0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0" fontId="9" fillId="0" borderId="0" pivotButton="0" quotePrefix="0" xfId="0"/>
  </cellXfs>
  <cellStyles count="1">
    <cellStyle name="Normal" xfId="0" builtinId="0" hidden="0"/>
  </cellStyles>
  <dxfs count="2"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9C000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分状态支出合计（万元）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'统计'!B17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cat>
            <numRef>
              <f>'统计'!$A$18:$A$20</f>
            </numRef>
          </cat>
          <val>
            <numRef>
              <f>'统计'!$B$18:$B$20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b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30" customWidth="1" min="3" max="3"/>
    <col width="10" customWidth="1" min="4" max="4"/>
    <col width="11" customWidth="1" min="5" max="5"/>
    <col width="11" customWidth="1" min="6" max="6"/>
    <col width="11" customWidth="1" min="7" max="7"/>
    <col width="9" customWidth="1" min="8" max="8"/>
    <col width="9" customWidth="1" min="9" max="9"/>
    <col width="8" customWidth="1" min="10" max="10"/>
    <col width="9" customWidth="1" min="11" max="11"/>
  </cols>
  <sheetData>
    <row r="1" ht="24" customHeight="1">
      <c r="A1" s="1" t="inlineStr">
        <is>
          <t>利镖链路 · 在建项目资金台账（2026-09）</t>
        </is>
      </c>
    </row>
    <row r="2">
      <c r="A2" s="2" t="inlineStr">
        <is>
          <t>构造样例：1200 行；金额单位：万元；含 RANK / 嵌套 IF / 图标集 / Top10 / 数据条 / 自动筛选</t>
        </is>
      </c>
    </row>
    <row r="3">
      <c r="A3" s="3" t="inlineStr">
        <is>
          <t>序号</t>
        </is>
      </c>
      <c r="B3" s="3" t="inlineStr">
        <is>
          <t>项目编号</t>
        </is>
      </c>
      <c r="C3" s="3" t="inlineStr">
        <is>
          <t>项目名称</t>
        </is>
      </c>
      <c r="D3" s="3" t="inlineStr">
        <is>
          <t>负责人</t>
        </is>
      </c>
      <c r="E3" s="3" t="inlineStr">
        <is>
          <t>预算</t>
        </is>
      </c>
      <c r="F3" s="3" t="inlineStr">
        <is>
          <t>已支出</t>
        </is>
      </c>
      <c r="G3" s="3" t="inlineStr">
        <is>
          <t>结余</t>
        </is>
      </c>
      <c r="H3" s="3" t="inlineStr">
        <is>
          <t>执行率</t>
        </is>
      </c>
      <c r="I3" s="3" t="inlineStr">
        <is>
          <t>评级</t>
        </is>
      </c>
      <c r="J3" s="3" t="inlineStr">
        <is>
          <t>排名</t>
        </is>
      </c>
      <c r="K3" s="3" t="inlineStr">
        <is>
          <t>状态</t>
        </is>
      </c>
    </row>
    <row r="4">
      <c r="A4" s="4" t="n">
        <v>1</v>
      </c>
      <c r="B4" s="5" t="inlineStr">
        <is>
          <t>PJ-2026-0001</t>
        </is>
      </c>
      <c r="C4" s="6" t="inlineStr">
        <is>
          <t>城东路道路改造工程</t>
        </is>
      </c>
      <c r="D4" s="4" t="inlineStr">
        <is>
          <t>张伟</t>
        </is>
      </c>
      <c r="E4" s="7" t="n">
        <v>50</v>
      </c>
      <c r="F4" s="7" t="n">
        <v>22.5</v>
      </c>
      <c r="G4" s="7">
        <f>E4-F4</f>
        <v/>
      </c>
      <c r="H4" s="8">
        <f>IFERROR(F4/E4,0)</f>
        <v/>
      </c>
      <c r="I4" s="4">
        <f>IF(H4&gt;=1,"超预算",IF(H4&gt;=0.9,"预警","正常"))</f>
        <v/>
      </c>
      <c r="J4" s="4">
        <f>RANK(F4,$F$4:$F$1203,0)</f>
        <v/>
      </c>
      <c r="K4" s="4" t="inlineStr">
        <is>
          <t>在建</t>
        </is>
      </c>
    </row>
    <row r="5">
      <c r="A5" s="4" t="n">
        <v>2</v>
      </c>
      <c r="B5" s="5" t="inlineStr">
        <is>
          <t>PJ-2026-0002</t>
        </is>
      </c>
      <c r="C5" s="6" t="inlineStr">
        <is>
          <t>解放路老旧小区改造项目（二期）</t>
        </is>
      </c>
      <c r="D5" s="4" t="inlineStr">
        <is>
          <t>王磊</t>
        </is>
      </c>
      <c r="E5" s="7" t="n">
        <v>187</v>
      </c>
      <c r="F5" s="7" t="n">
        <v>138.38</v>
      </c>
      <c r="G5" s="7">
        <f>E5-F5</f>
        <v/>
      </c>
      <c r="H5" s="8">
        <f>IFERROR(F5/E5,0)</f>
        <v/>
      </c>
      <c r="I5" s="4">
        <f>IF(H5&gt;=1,"超预算",IF(H5&gt;=0.9,"预警","正常"))</f>
        <v/>
      </c>
      <c r="J5" s="4">
        <f>RANK(F5,$F$4:$F$1203,0)</f>
        <v/>
      </c>
      <c r="K5" s="4" t="inlineStr">
        <is>
          <t>待启动</t>
        </is>
      </c>
    </row>
    <row r="6">
      <c r="A6" s="4" t="n">
        <v>3</v>
      </c>
      <c r="B6" s="5" t="inlineStr">
        <is>
          <t>PJ-2026-0003</t>
        </is>
      </c>
      <c r="C6" s="6" t="inlineStr">
        <is>
          <t>和平街智慧园区建设项目（三期）</t>
        </is>
      </c>
      <c r="D6" s="4" t="inlineStr">
        <is>
          <t>李涛</t>
        </is>
      </c>
      <c r="E6" s="7" t="n">
        <v>324</v>
      </c>
      <c r="F6" s="7" t="n">
        <v>333.72</v>
      </c>
      <c r="G6" s="7">
        <f>E6-F6</f>
        <v/>
      </c>
      <c r="H6" s="8">
        <f>IFERROR(F6/E6,0)</f>
        <v/>
      </c>
      <c r="I6" s="4">
        <f>IF(H6&gt;=1,"超预算",IF(H6&gt;=0.9,"预警","正常"))</f>
        <v/>
      </c>
      <c r="J6" s="4">
        <f>RANK(F6,$F$4:$F$1203,0)</f>
        <v/>
      </c>
      <c r="K6" s="4" t="inlineStr">
        <is>
          <t>完工</t>
        </is>
      </c>
    </row>
    <row r="7">
      <c r="A7" s="4" t="n">
        <v>4</v>
      </c>
      <c r="B7" s="5" t="inlineStr">
        <is>
          <t>PJ-2026-0004</t>
        </is>
      </c>
      <c r="C7" s="6" t="inlineStr">
        <is>
          <t>光明街污水处理扩容工程（四期）</t>
        </is>
      </c>
      <c r="D7" s="4" t="inlineStr">
        <is>
          <t>赵刚</t>
        </is>
      </c>
      <c r="E7" s="7" t="n">
        <v>461</v>
      </c>
      <c r="F7" s="7" t="n">
        <v>285.82</v>
      </c>
      <c r="G7" s="7">
        <f>E7-F7</f>
        <v/>
      </c>
      <c r="H7" s="8">
        <f>IFERROR(F7/E7,0)</f>
        <v/>
      </c>
      <c r="I7" s="4">
        <f>IF(H7&gt;=1,"超预算",IF(H7&gt;=0.9,"预警","正常"))</f>
        <v/>
      </c>
      <c r="J7" s="4">
        <f>RANK(F7,$F$4:$F$1203,0)</f>
        <v/>
      </c>
      <c r="K7" s="4" t="inlineStr">
        <is>
          <t>在建</t>
        </is>
      </c>
    </row>
    <row r="8">
      <c r="A8" s="4" t="n">
        <v>5</v>
      </c>
      <c r="B8" s="5" t="inlineStr">
        <is>
          <t>PJ-2026-0005</t>
        </is>
      </c>
      <c r="C8" s="6" t="inlineStr">
        <is>
          <t>城东路供水管网更新工程</t>
        </is>
      </c>
      <c r="D8" s="4" t="inlineStr">
        <is>
          <t>刘静</t>
        </is>
      </c>
      <c r="E8" s="7" t="n">
        <v>598</v>
      </c>
      <c r="F8" s="7" t="n">
        <v>544.1799999999999</v>
      </c>
      <c r="G8" s="7">
        <f>E8-F8</f>
        <v/>
      </c>
      <c r="H8" s="8">
        <f>IFERROR(F8/E8,0)</f>
        <v/>
      </c>
      <c r="I8" s="4">
        <f>IF(H8&gt;=1,"超预算",IF(H8&gt;=0.9,"预警","正常"))</f>
        <v/>
      </c>
      <c r="J8" s="4">
        <f>RANK(F8,$F$4:$F$1203,0)</f>
        <v/>
      </c>
      <c r="K8" s="4" t="inlineStr">
        <is>
          <t>待启动</t>
        </is>
      </c>
    </row>
    <row r="9">
      <c r="A9" s="4" t="n">
        <v>6</v>
      </c>
      <c r="B9" s="5" t="inlineStr">
        <is>
          <t>PJ-2026-0006</t>
        </is>
      </c>
      <c r="C9" s="6" t="inlineStr">
        <is>
          <t>解放路河道综合整治工程（二期）</t>
        </is>
      </c>
      <c r="D9" s="4" t="inlineStr">
        <is>
          <t>陈艳</t>
        </is>
      </c>
      <c r="E9" s="7" t="n">
        <v>735</v>
      </c>
      <c r="F9" s="7" t="n">
        <v>367.5</v>
      </c>
      <c r="G9" s="7">
        <f>E9-F9</f>
        <v/>
      </c>
      <c r="H9" s="8">
        <f>IFERROR(F9/E9,0)</f>
        <v/>
      </c>
      <c r="I9" s="4">
        <f>IF(H9&gt;=1,"超预算",IF(H9&gt;=0.9,"预警","正常"))</f>
        <v/>
      </c>
      <c r="J9" s="4">
        <f>RANK(F9,$F$4:$F$1203,0)</f>
        <v/>
      </c>
      <c r="K9" s="4" t="inlineStr">
        <is>
          <t>完工</t>
        </is>
      </c>
    </row>
    <row r="10">
      <c r="A10" s="4" t="n">
        <v>7</v>
      </c>
      <c r="B10" s="5" t="inlineStr">
        <is>
          <t>PJ-2026-0007</t>
        </is>
      </c>
      <c r="C10" s="6" t="inlineStr">
        <is>
          <t>和平街学校新建工程（三期）</t>
        </is>
      </c>
      <c r="D10" s="4" t="inlineStr">
        <is>
          <t>杨英</t>
        </is>
      </c>
      <c r="E10" s="7" t="n">
        <v>872</v>
      </c>
      <c r="F10" s="7" t="n">
        <v>688.88</v>
      </c>
      <c r="G10" s="7">
        <f>E10-F10</f>
        <v/>
      </c>
      <c r="H10" s="8">
        <f>IFERROR(F10/E10,0)</f>
        <v/>
      </c>
      <c r="I10" s="4">
        <f>IF(H10&gt;=1,"超预算",IF(H10&gt;=0.9,"预警","正常"))</f>
        <v/>
      </c>
      <c r="J10" s="4">
        <f>RANK(F10,$F$4:$F$1203,0)</f>
        <v/>
      </c>
      <c r="K10" s="4" t="inlineStr">
        <is>
          <t>在建</t>
        </is>
      </c>
    </row>
    <row r="11">
      <c r="A11" s="4" t="n">
        <v>8</v>
      </c>
      <c r="B11" s="5" t="inlineStr">
        <is>
          <t>PJ-2026-0008</t>
        </is>
      </c>
      <c r="C11" s="6" t="inlineStr">
        <is>
          <t>光明街医院改扩建项目（四期）</t>
        </is>
      </c>
      <c r="D11" s="4" t="inlineStr">
        <is>
          <t>黄芳</t>
        </is>
      </c>
      <c r="E11" s="7" t="n">
        <v>1009</v>
      </c>
      <c r="F11" s="7" t="n">
        <v>1089.72</v>
      </c>
      <c r="G11" s="7">
        <f>E11-F11</f>
        <v/>
      </c>
      <c r="H11" s="8">
        <f>IFERROR(F11/E11,0)</f>
        <v/>
      </c>
      <c r="I11" s="4">
        <f>IF(H11&gt;=1,"超预算",IF(H11&gt;=0.9,"预警","正常"))</f>
        <v/>
      </c>
      <c r="J11" s="4">
        <f>RANK(F11,$F$4:$F$1203,0)</f>
        <v/>
      </c>
      <c r="K11" s="4" t="inlineStr">
        <is>
          <t>待启动</t>
        </is>
      </c>
    </row>
    <row r="12">
      <c r="A12" s="4" t="n">
        <v>9</v>
      </c>
      <c r="B12" s="5" t="inlineStr">
        <is>
          <t>PJ-2026-0009</t>
        </is>
      </c>
      <c r="C12" s="6" t="inlineStr">
        <is>
          <t>城东路公交枢纽建设工程</t>
        </is>
      </c>
      <c r="D12" s="4" t="inlineStr">
        <is>
          <t>周军</t>
        </is>
      </c>
      <c r="E12" s="7" t="n">
        <v>1146</v>
      </c>
      <c r="F12" s="7" t="n">
        <v>767.8200000000001</v>
      </c>
      <c r="G12" s="7">
        <f>E12-F12</f>
        <v/>
      </c>
      <c r="H12" s="8">
        <f>IFERROR(F12/E12,0)</f>
        <v/>
      </c>
      <c r="I12" s="4">
        <f>IF(H12&gt;=1,"超预算",IF(H12&gt;=0.9,"预警","正常"))</f>
        <v/>
      </c>
      <c r="J12" s="4">
        <f>RANK(F12,$F$4:$F$1203,0)</f>
        <v/>
      </c>
      <c r="K12" s="4" t="inlineStr">
        <is>
          <t>完工</t>
        </is>
      </c>
    </row>
    <row r="13">
      <c r="A13" s="4" t="n">
        <v>10</v>
      </c>
      <c r="B13" s="5" t="inlineStr">
        <is>
          <t>PJ-2026-0010</t>
        </is>
      </c>
      <c r="C13" s="6" t="inlineStr">
        <is>
          <t>解放路公共停车场建设工程（二期）</t>
        </is>
      </c>
      <c r="D13" s="4" t="inlineStr">
        <is>
          <t>吴明</t>
        </is>
      </c>
      <c r="E13" s="7" t="n">
        <v>1283</v>
      </c>
      <c r="F13" s="7" t="n">
        <v>1231.68</v>
      </c>
      <c r="G13" s="7">
        <f>E13-F13</f>
        <v/>
      </c>
      <c r="H13" s="8">
        <f>IFERROR(F13/E13,0)</f>
        <v/>
      </c>
      <c r="I13" s="4">
        <f>IF(H13&gt;=1,"超预算",IF(H13&gt;=0.9,"预警","正常"))</f>
        <v/>
      </c>
      <c r="J13" s="4">
        <f>RANK(F13,$F$4:$F$1203,0)</f>
        <v/>
      </c>
      <c r="K13" s="4" t="inlineStr">
        <is>
          <t>在建</t>
        </is>
      </c>
    </row>
    <row r="14">
      <c r="A14" s="4" t="n">
        <v>11</v>
      </c>
      <c r="B14" s="5" t="inlineStr">
        <is>
          <t>PJ-2026-0011</t>
        </is>
      </c>
      <c r="C14" s="6" t="inlineStr">
        <is>
          <t>和平街道路改造工程（三期）</t>
        </is>
      </c>
      <c r="D14" s="4" t="inlineStr">
        <is>
          <t>徐桂</t>
        </is>
      </c>
      <c r="E14" s="7" t="n">
        <v>1420</v>
      </c>
      <c r="F14" s="7" t="n">
        <v>781</v>
      </c>
      <c r="G14" s="7">
        <f>E14-F14</f>
        <v/>
      </c>
      <c r="H14" s="8">
        <f>IFERROR(F14/E14,0)</f>
        <v/>
      </c>
      <c r="I14" s="4">
        <f>IF(H14&gt;=1,"超预算",IF(H14&gt;=0.9,"预警","正常"))</f>
        <v/>
      </c>
      <c r="J14" s="4">
        <f>RANK(F14,$F$4:$F$1203,0)</f>
        <v/>
      </c>
      <c r="K14" s="4" t="inlineStr">
        <is>
          <t>待启动</t>
        </is>
      </c>
    </row>
    <row r="15">
      <c r="A15" s="4" t="n">
        <v>12</v>
      </c>
      <c r="B15" s="5" t="inlineStr">
        <is>
          <t>PJ-2026-0012</t>
        </is>
      </c>
      <c r="C15" s="6" t="inlineStr">
        <is>
          <t>光明街老旧小区改造项目（四期）</t>
        </is>
      </c>
      <c r="D15" s="4" t="inlineStr">
        <is>
          <t>孙丽</t>
        </is>
      </c>
      <c r="E15" s="7" t="n">
        <v>1557</v>
      </c>
      <c r="F15" s="7" t="n">
        <v>1307.88</v>
      </c>
      <c r="G15" s="7">
        <f>E15-F15</f>
        <v/>
      </c>
      <c r="H15" s="8">
        <f>IFERROR(F15/E15,0)</f>
        <v/>
      </c>
      <c r="I15" s="4">
        <f>IF(H15&gt;=1,"超预算",IF(H15&gt;=0.9,"预警","正常"))</f>
        <v/>
      </c>
      <c r="J15" s="4">
        <f>RANK(F15,$F$4:$F$1203,0)</f>
        <v/>
      </c>
      <c r="K15" s="4" t="inlineStr">
        <is>
          <t>完工</t>
        </is>
      </c>
    </row>
    <row r="16">
      <c r="A16" s="4" t="n">
        <v>13</v>
      </c>
      <c r="B16" s="5" t="inlineStr">
        <is>
          <t>PJ-2026-0013</t>
        </is>
      </c>
      <c r="C16" s="6" t="inlineStr">
        <is>
          <t>城东路智慧园区建设项目</t>
        </is>
      </c>
      <c r="D16" s="4" t="inlineStr">
        <is>
          <t>马杰</t>
        </is>
      </c>
      <c r="E16" s="7" t="n">
        <v>1694</v>
      </c>
      <c r="F16" s="7" t="n">
        <v>1914.22</v>
      </c>
      <c r="G16" s="7">
        <f>E16-F16</f>
        <v/>
      </c>
      <c r="H16" s="8">
        <f>IFERROR(F16/E16,0)</f>
        <v/>
      </c>
      <c r="I16" s="4">
        <f>IF(H16&gt;=1,"超预算",IF(H16&gt;=0.9,"预警","正常"))</f>
        <v/>
      </c>
      <c r="J16" s="4">
        <f>RANK(F16,$F$4:$F$1203,0)</f>
        <v/>
      </c>
      <c r="K16" s="4" t="inlineStr">
        <is>
          <t>在建</t>
        </is>
      </c>
    </row>
    <row r="17">
      <c r="A17" s="4" t="n">
        <v>14</v>
      </c>
      <c r="B17" s="5" t="inlineStr">
        <is>
          <t>PJ-2026-0014</t>
        </is>
      </c>
      <c r="C17" s="6" t="inlineStr">
        <is>
          <t>解放路污水处理扩容工程（二期）</t>
        </is>
      </c>
      <c r="D17" s="4" t="inlineStr">
        <is>
          <t>朱霞</t>
        </is>
      </c>
      <c r="E17" s="7" t="n">
        <v>1831</v>
      </c>
      <c r="F17" s="7" t="n">
        <v>1318.32</v>
      </c>
      <c r="G17" s="7">
        <f>E17-F17</f>
        <v/>
      </c>
      <c r="H17" s="8">
        <f>IFERROR(F17/E17,0)</f>
        <v/>
      </c>
      <c r="I17" s="4">
        <f>IF(H17&gt;=1,"超预算",IF(H17&gt;=0.9,"预警","正常"))</f>
        <v/>
      </c>
      <c r="J17" s="4">
        <f>RANK(F17,$F$4:$F$1203,0)</f>
        <v/>
      </c>
      <c r="K17" s="4" t="inlineStr">
        <is>
          <t>待启动</t>
        </is>
      </c>
    </row>
    <row r="18">
      <c r="A18" s="4" t="n">
        <v>15</v>
      </c>
      <c r="B18" s="5" t="inlineStr">
        <is>
          <t>PJ-2026-0015</t>
        </is>
      </c>
      <c r="C18" s="6" t="inlineStr">
        <is>
          <t>和平街供水管网更新工程（三期）</t>
        </is>
      </c>
      <c r="D18" s="4" t="inlineStr">
        <is>
          <t>胡娜</t>
        </is>
      </c>
      <c r="E18" s="7" t="n">
        <v>1968</v>
      </c>
      <c r="F18" s="7" t="n">
        <v>1987.68</v>
      </c>
      <c r="G18" s="7">
        <f>E18-F18</f>
        <v/>
      </c>
      <c r="H18" s="8">
        <f>IFERROR(F18/E18,0)</f>
        <v/>
      </c>
      <c r="I18" s="4">
        <f>IF(H18&gt;=1,"超预算",IF(H18&gt;=0.9,"预警","正常"))</f>
        <v/>
      </c>
      <c r="J18" s="4">
        <f>RANK(F18,$F$4:$F$1203,0)</f>
        <v/>
      </c>
      <c r="K18" s="4" t="inlineStr">
        <is>
          <t>完工</t>
        </is>
      </c>
    </row>
    <row r="19">
      <c r="A19" s="4" t="n">
        <v>16</v>
      </c>
      <c r="B19" s="5" t="inlineStr">
        <is>
          <t>PJ-2026-0016</t>
        </is>
      </c>
      <c r="C19" s="6" t="inlineStr">
        <is>
          <t>光明街河道综合整治工程（四期）</t>
        </is>
      </c>
      <c r="D19" s="4" t="inlineStr">
        <is>
          <t>郭洋</t>
        </is>
      </c>
      <c r="E19" s="7" t="n">
        <v>2105</v>
      </c>
      <c r="F19" s="7" t="n">
        <v>1263</v>
      </c>
      <c r="G19" s="7">
        <f>E19-F19</f>
        <v/>
      </c>
      <c r="H19" s="8">
        <f>IFERROR(F19/E19,0)</f>
        <v/>
      </c>
      <c r="I19" s="4">
        <f>IF(H19&gt;=1,"超预算",IF(H19&gt;=0.9,"预警","正常"))</f>
        <v/>
      </c>
      <c r="J19" s="4">
        <f>RANK(F19,$F$4:$F$1203,0)</f>
        <v/>
      </c>
      <c r="K19" s="4" t="inlineStr">
        <is>
          <t>在建</t>
        </is>
      </c>
    </row>
    <row r="20">
      <c r="A20" s="4" t="n">
        <v>17</v>
      </c>
      <c r="B20" s="5" t="inlineStr">
        <is>
          <t>PJ-2026-0017</t>
        </is>
      </c>
      <c r="C20" s="6" t="inlineStr">
        <is>
          <t>城东路学校新建工程</t>
        </is>
      </c>
      <c r="D20" s="4" t="inlineStr">
        <is>
          <t>何超</t>
        </is>
      </c>
      <c r="E20" s="7" t="n">
        <v>2242</v>
      </c>
      <c r="F20" s="7" t="n">
        <v>1995.38</v>
      </c>
      <c r="G20" s="7">
        <f>E20-F20</f>
        <v/>
      </c>
      <c r="H20" s="8">
        <f>IFERROR(F20/E20,0)</f>
        <v/>
      </c>
      <c r="I20" s="4">
        <f>IF(H20&gt;=1,"超预算",IF(H20&gt;=0.9,"预警","正常"))</f>
        <v/>
      </c>
      <c r="J20" s="4">
        <f>RANK(F20,$F$4:$F$1203,0)</f>
        <v/>
      </c>
      <c r="K20" s="4" t="inlineStr">
        <is>
          <t>待启动</t>
        </is>
      </c>
    </row>
    <row r="21">
      <c r="A21" s="4" t="n">
        <v>18</v>
      </c>
      <c r="B21" s="5" t="inlineStr">
        <is>
          <t>PJ-2026-0018</t>
        </is>
      </c>
      <c r="C21" s="6" t="inlineStr">
        <is>
          <t>解放路医院改扩建项目（二期）</t>
        </is>
      </c>
      <c r="D21" s="4" t="inlineStr">
        <is>
          <t>高英</t>
        </is>
      </c>
      <c r="E21" s="7" t="n">
        <v>2379</v>
      </c>
      <c r="F21" s="7" t="n">
        <v>1141.92</v>
      </c>
      <c r="G21" s="7">
        <f>E21-F21</f>
        <v/>
      </c>
      <c r="H21" s="8">
        <f>IFERROR(F21/E21,0)</f>
        <v/>
      </c>
      <c r="I21" s="4">
        <f>IF(H21&gt;=1,"超预算",IF(H21&gt;=0.9,"预警","正常"))</f>
        <v/>
      </c>
      <c r="J21" s="4">
        <f>RANK(F21,$F$4:$F$1203,0)</f>
        <v/>
      </c>
      <c r="K21" s="4" t="inlineStr">
        <is>
          <t>完工</t>
        </is>
      </c>
    </row>
    <row r="22">
      <c r="A22" s="4" t="n">
        <v>19</v>
      </c>
      <c r="B22" s="5" t="inlineStr">
        <is>
          <t>PJ-2026-0019</t>
        </is>
      </c>
      <c r="C22" s="6" t="inlineStr">
        <is>
          <t>和平街公交枢纽建设工程（三期）</t>
        </is>
      </c>
      <c r="D22" s="4" t="inlineStr">
        <is>
          <t>林强</t>
        </is>
      </c>
      <c r="E22" s="7" t="n">
        <v>2516</v>
      </c>
      <c r="F22" s="7" t="n">
        <v>1937.32</v>
      </c>
      <c r="G22" s="7">
        <f>E22-F22</f>
        <v/>
      </c>
      <c r="H22" s="8">
        <f>IFERROR(F22/E22,0)</f>
        <v/>
      </c>
      <c r="I22" s="4">
        <f>IF(H22&gt;=1,"超预算",IF(H22&gt;=0.9,"预警","正常"))</f>
        <v/>
      </c>
      <c r="J22" s="4">
        <f>RANK(F22,$F$4:$F$1203,0)</f>
        <v/>
      </c>
      <c r="K22" s="4" t="inlineStr">
        <is>
          <t>在建</t>
        </is>
      </c>
    </row>
    <row r="23">
      <c r="A23" s="4" t="n">
        <v>20</v>
      </c>
      <c r="B23" s="5" t="inlineStr">
        <is>
          <t>PJ-2026-0020</t>
        </is>
      </c>
      <c r="C23" s="6" t="inlineStr">
        <is>
          <t>光明街公共停车场建设工程（四期）</t>
        </is>
      </c>
      <c r="D23" s="4" t="inlineStr">
        <is>
          <t>罗娟</t>
        </is>
      </c>
      <c r="E23" s="7" t="n">
        <v>2653</v>
      </c>
      <c r="F23" s="7" t="n">
        <v>2812.18</v>
      </c>
      <c r="G23" s="7">
        <f>E23-F23</f>
        <v/>
      </c>
      <c r="H23" s="8">
        <f>IFERROR(F23/E23,0)</f>
        <v/>
      </c>
      <c r="I23" s="4">
        <f>IF(H23&gt;=1,"超预算",IF(H23&gt;=0.9,"预警","正常"))</f>
        <v/>
      </c>
      <c r="J23" s="4">
        <f>RANK(F23,$F$4:$F$1203,0)</f>
        <v/>
      </c>
      <c r="K23" s="4" t="inlineStr">
        <is>
          <t>待启动</t>
        </is>
      </c>
    </row>
    <row r="24">
      <c r="A24" s="4" t="n">
        <v>21</v>
      </c>
      <c r="B24" s="5" t="inlineStr">
        <is>
          <t>PJ-2026-0021</t>
        </is>
      </c>
      <c r="C24" s="6" t="inlineStr">
        <is>
          <t>城东路道路改造工程</t>
        </is>
      </c>
      <c r="D24" s="4" t="inlineStr">
        <is>
          <t>张平</t>
        </is>
      </c>
      <c r="E24" s="7" t="n">
        <v>2790</v>
      </c>
      <c r="F24" s="7" t="n">
        <v>1813.5</v>
      </c>
      <c r="G24" s="7">
        <f>E24-F24</f>
        <v/>
      </c>
      <c r="H24" s="8">
        <f>IFERROR(F24/E24,0)</f>
        <v/>
      </c>
      <c r="I24" s="4">
        <f>IF(H24&gt;=1,"超预算",IF(H24&gt;=0.9,"预警","正常"))</f>
        <v/>
      </c>
      <c r="J24" s="4">
        <f>RANK(F24,$F$4:$F$1203,0)</f>
        <v/>
      </c>
      <c r="K24" s="4" t="inlineStr">
        <is>
          <t>完工</t>
        </is>
      </c>
    </row>
    <row r="25">
      <c r="A25" s="4" t="n">
        <v>22</v>
      </c>
      <c r="B25" s="5" t="inlineStr">
        <is>
          <t>PJ-2026-0022</t>
        </is>
      </c>
      <c r="C25" s="6" t="inlineStr">
        <is>
          <t>解放路老旧小区改造项目（二期）</t>
        </is>
      </c>
      <c r="D25" s="4" t="inlineStr">
        <is>
          <t>王敏</t>
        </is>
      </c>
      <c r="E25" s="7" t="n">
        <v>2927</v>
      </c>
      <c r="F25" s="7" t="n">
        <v>2751.38</v>
      </c>
      <c r="G25" s="7">
        <f>E25-F25</f>
        <v/>
      </c>
      <c r="H25" s="8">
        <f>IFERROR(F25/E25,0)</f>
        <v/>
      </c>
      <c r="I25" s="4">
        <f>IF(H25&gt;=1,"超预算",IF(H25&gt;=0.9,"预警","正常"))</f>
        <v/>
      </c>
      <c r="J25" s="4">
        <f>RANK(F25,$F$4:$F$1203,0)</f>
        <v/>
      </c>
      <c r="K25" s="4" t="inlineStr">
        <is>
          <t>在建</t>
        </is>
      </c>
    </row>
    <row r="26">
      <c r="A26" s="4" t="n">
        <v>23</v>
      </c>
      <c r="B26" s="5" t="inlineStr">
        <is>
          <t>PJ-2026-0023</t>
        </is>
      </c>
      <c r="C26" s="6" t="inlineStr">
        <is>
          <t>和平街智慧园区建设项目（三期）</t>
        </is>
      </c>
      <c r="D26" s="4" t="inlineStr">
        <is>
          <t>李勇</t>
        </is>
      </c>
      <c r="E26" s="7" t="n">
        <v>3064</v>
      </c>
      <c r="F26" s="7" t="n">
        <v>1623.92</v>
      </c>
      <c r="G26" s="7">
        <f>E26-F26</f>
        <v/>
      </c>
      <c r="H26" s="8">
        <f>IFERROR(F26/E26,0)</f>
        <v/>
      </c>
      <c r="I26" s="4">
        <f>IF(H26&gt;=1,"超预算",IF(H26&gt;=0.9,"预警","正常"))</f>
        <v/>
      </c>
      <c r="J26" s="4">
        <f>RANK(F26,$F$4:$F$1203,0)</f>
        <v/>
      </c>
      <c r="K26" s="4" t="inlineStr">
        <is>
          <t>待启动</t>
        </is>
      </c>
    </row>
    <row r="27">
      <c r="A27" s="4" t="n">
        <v>24</v>
      </c>
      <c r="B27" s="5" t="inlineStr">
        <is>
          <t>PJ-2026-0024</t>
        </is>
      </c>
      <c r="C27" s="6" t="inlineStr">
        <is>
          <t>光明街污水处理扩容工程（四期）</t>
        </is>
      </c>
      <c r="D27" s="4" t="inlineStr">
        <is>
          <t>赵秀</t>
        </is>
      </c>
      <c r="E27" s="7" t="n">
        <v>3201</v>
      </c>
      <c r="F27" s="7" t="n">
        <v>2624.82</v>
      </c>
      <c r="G27" s="7">
        <f>E27-F27</f>
        <v/>
      </c>
      <c r="H27" s="8">
        <f>IFERROR(F27/E27,0)</f>
        <v/>
      </c>
      <c r="I27" s="4">
        <f>IF(H27&gt;=1,"超预算",IF(H27&gt;=0.9,"预警","正常"))</f>
        <v/>
      </c>
      <c r="J27" s="4">
        <f>RANK(F27,$F$4:$F$1203,0)</f>
        <v/>
      </c>
      <c r="K27" s="4" t="inlineStr">
        <is>
          <t>完工</t>
        </is>
      </c>
    </row>
    <row r="28">
      <c r="A28" s="4" t="n">
        <v>25</v>
      </c>
      <c r="B28" s="5" t="inlineStr">
        <is>
          <t>PJ-2026-0025</t>
        </is>
      </c>
      <c r="C28" s="6" t="inlineStr">
        <is>
          <t>城东路供水管网更新工程</t>
        </is>
      </c>
      <c r="D28" s="4" t="inlineStr">
        <is>
          <t>刘伟</t>
        </is>
      </c>
      <c r="E28" s="7" t="n">
        <v>3338</v>
      </c>
      <c r="F28" s="7" t="n">
        <v>3705.18</v>
      </c>
      <c r="G28" s="7">
        <f>E28-F28</f>
        <v/>
      </c>
      <c r="H28" s="8">
        <f>IFERROR(F28/E28,0)</f>
        <v/>
      </c>
      <c r="I28" s="4">
        <f>IF(H28&gt;=1,"超预算",IF(H28&gt;=0.9,"预警","正常"))</f>
        <v/>
      </c>
      <c r="J28" s="4">
        <f>RANK(F28,$F$4:$F$1203,0)</f>
        <v/>
      </c>
      <c r="K28" s="4" t="inlineStr">
        <is>
          <t>在建</t>
        </is>
      </c>
    </row>
    <row r="29">
      <c r="A29" s="4" t="n">
        <v>26</v>
      </c>
      <c r="B29" s="5" t="inlineStr">
        <is>
          <t>PJ-2026-0026</t>
        </is>
      </c>
      <c r="C29" s="6" t="inlineStr">
        <is>
          <t>解放路河道综合整治工程（二期）</t>
        </is>
      </c>
      <c r="D29" s="4" t="inlineStr">
        <is>
          <t>陈磊</t>
        </is>
      </c>
      <c r="E29" s="7" t="n">
        <v>3475</v>
      </c>
      <c r="F29" s="7" t="n">
        <v>2432.5</v>
      </c>
      <c r="G29" s="7">
        <f>E29-F29</f>
        <v/>
      </c>
      <c r="H29" s="8">
        <f>IFERROR(F29/E29,0)</f>
        <v/>
      </c>
      <c r="I29" s="4">
        <f>IF(H29&gt;=1,"超预算",IF(H29&gt;=0.9,"预警","正常"))</f>
        <v/>
      </c>
      <c r="J29" s="4">
        <f>RANK(F29,$F$4:$F$1203,0)</f>
        <v/>
      </c>
      <c r="K29" s="4" t="inlineStr">
        <is>
          <t>待启动</t>
        </is>
      </c>
    </row>
    <row r="30">
      <c r="A30" s="4" t="n">
        <v>27</v>
      </c>
      <c r="B30" s="5" t="inlineStr">
        <is>
          <t>PJ-2026-0027</t>
        </is>
      </c>
      <c r="C30" s="6" t="inlineStr">
        <is>
          <t>和平街学校新建工程（三期）</t>
        </is>
      </c>
      <c r="D30" s="4" t="inlineStr">
        <is>
          <t>杨涛</t>
        </is>
      </c>
      <c r="E30" s="7" t="n">
        <v>3612</v>
      </c>
      <c r="F30" s="7" t="n">
        <v>3575.88</v>
      </c>
      <c r="G30" s="7">
        <f>E30-F30</f>
        <v/>
      </c>
      <c r="H30" s="8">
        <f>IFERROR(F30/E30,0)</f>
        <v/>
      </c>
      <c r="I30" s="4">
        <f>IF(H30&gt;=1,"超预算",IF(H30&gt;=0.9,"预警","正常"))</f>
        <v/>
      </c>
      <c r="J30" s="4">
        <f>RANK(F30,$F$4:$F$1203,0)</f>
        <v/>
      </c>
      <c r="K30" s="4" t="inlineStr">
        <is>
          <t>完工</t>
        </is>
      </c>
    </row>
    <row r="31">
      <c r="A31" s="4" t="n">
        <v>28</v>
      </c>
      <c r="B31" s="5" t="inlineStr">
        <is>
          <t>PJ-2026-0028</t>
        </is>
      </c>
      <c r="C31" s="6" t="inlineStr">
        <is>
          <t>光明街医院改扩建项目（四期）</t>
        </is>
      </c>
      <c r="D31" s="4" t="inlineStr">
        <is>
          <t>黄刚</t>
        </is>
      </c>
      <c r="E31" s="7" t="n">
        <v>3749</v>
      </c>
      <c r="F31" s="7" t="n">
        <v>2174.42</v>
      </c>
      <c r="G31" s="7">
        <f>E31-F31</f>
        <v/>
      </c>
      <c r="H31" s="8">
        <f>IFERROR(F31/E31,0)</f>
        <v/>
      </c>
      <c r="I31" s="4">
        <f>IF(H31&gt;=1,"超预算",IF(H31&gt;=0.9,"预警","正常"))</f>
        <v/>
      </c>
      <c r="J31" s="4">
        <f>RANK(F31,$F$4:$F$1203,0)</f>
        <v/>
      </c>
      <c r="K31" s="4" t="inlineStr">
        <is>
          <t>在建</t>
        </is>
      </c>
    </row>
    <row r="32">
      <c r="A32" s="4" t="n">
        <v>29</v>
      </c>
      <c r="B32" s="5" t="inlineStr">
        <is>
          <t>PJ-2026-0029</t>
        </is>
      </c>
      <c r="C32" s="6" t="inlineStr">
        <is>
          <t>城东路公交枢纽建设工程</t>
        </is>
      </c>
      <c r="D32" s="4" t="inlineStr">
        <is>
          <t>周静</t>
        </is>
      </c>
      <c r="E32" s="7" t="n">
        <v>3886</v>
      </c>
      <c r="F32" s="7" t="n">
        <v>3380.82</v>
      </c>
      <c r="G32" s="7">
        <f>E32-F32</f>
        <v/>
      </c>
      <c r="H32" s="8">
        <f>IFERROR(F32/E32,0)</f>
        <v/>
      </c>
      <c r="I32" s="4">
        <f>IF(H32&gt;=1,"超预算",IF(H32&gt;=0.9,"预警","正常"))</f>
        <v/>
      </c>
      <c r="J32" s="4">
        <f>RANK(F32,$F$4:$F$1203,0)</f>
        <v/>
      </c>
      <c r="K32" s="4" t="inlineStr">
        <is>
          <t>待启动</t>
        </is>
      </c>
    </row>
    <row r="33">
      <c r="A33" s="4" t="n">
        <v>30</v>
      </c>
      <c r="B33" s="5" t="inlineStr">
        <is>
          <t>PJ-2026-0030</t>
        </is>
      </c>
      <c r="C33" s="6" t="inlineStr">
        <is>
          <t>解放路公共停车场建设工程（二期）</t>
        </is>
      </c>
      <c r="D33" s="4" t="inlineStr">
        <is>
          <t>吴艳</t>
        </is>
      </c>
      <c r="E33" s="7" t="n">
        <v>4023</v>
      </c>
      <c r="F33" s="7" t="n">
        <v>1850.58</v>
      </c>
      <c r="G33" s="7">
        <f>E33-F33</f>
        <v/>
      </c>
      <c r="H33" s="8">
        <f>IFERROR(F33/E33,0)</f>
        <v/>
      </c>
      <c r="I33" s="4">
        <f>IF(H33&gt;=1,"超预算",IF(H33&gt;=0.9,"预警","正常"))</f>
        <v/>
      </c>
      <c r="J33" s="4">
        <f>RANK(F33,$F$4:$F$1203,0)</f>
        <v/>
      </c>
      <c r="K33" s="4" t="inlineStr">
        <is>
          <t>完工</t>
        </is>
      </c>
    </row>
    <row r="34">
      <c r="A34" s="4" t="n">
        <v>31</v>
      </c>
      <c r="B34" s="5" t="inlineStr">
        <is>
          <t>PJ-2026-0031</t>
        </is>
      </c>
      <c r="C34" s="6" t="inlineStr">
        <is>
          <t>和平街道路改造工程（三期）</t>
        </is>
      </c>
      <c r="D34" s="4" t="inlineStr">
        <is>
          <t>徐英</t>
        </is>
      </c>
      <c r="E34" s="7" t="n">
        <v>4160</v>
      </c>
      <c r="F34" s="7" t="n">
        <v>3120</v>
      </c>
      <c r="G34" s="7">
        <f>E34-F34</f>
        <v/>
      </c>
      <c r="H34" s="8">
        <f>IFERROR(F34/E34,0)</f>
        <v/>
      </c>
      <c r="I34" s="4">
        <f>IF(H34&gt;=1,"超预算",IF(H34&gt;=0.9,"预警","正常"))</f>
        <v/>
      </c>
      <c r="J34" s="4">
        <f>RANK(F34,$F$4:$F$1203,0)</f>
        <v/>
      </c>
      <c r="K34" s="4" t="inlineStr">
        <is>
          <t>在建</t>
        </is>
      </c>
    </row>
    <row r="35">
      <c r="A35" s="4" t="n">
        <v>32</v>
      </c>
      <c r="B35" s="5" t="inlineStr">
        <is>
          <t>PJ-2026-0032</t>
        </is>
      </c>
      <c r="C35" s="6" t="inlineStr">
        <is>
          <t>光明街老旧小区改造项目（四期）</t>
        </is>
      </c>
      <c r="D35" s="4" t="inlineStr">
        <is>
          <t>孙芳</t>
        </is>
      </c>
      <c r="E35" s="7" t="n">
        <v>4297</v>
      </c>
      <c r="F35" s="7" t="n">
        <v>4468.88</v>
      </c>
      <c r="G35" s="7">
        <f>E35-F35</f>
        <v/>
      </c>
      <c r="H35" s="8">
        <f>IFERROR(F35/E35,0)</f>
        <v/>
      </c>
      <c r="I35" s="4">
        <f>IF(H35&gt;=1,"超预算",IF(H35&gt;=0.9,"预警","正常"))</f>
        <v/>
      </c>
      <c r="J35" s="4">
        <f>RANK(F35,$F$4:$F$1203,0)</f>
        <v/>
      </c>
      <c r="K35" s="4" t="inlineStr">
        <is>
          <t>待启动</t>
        </is>
      </c>
    </row>
    <row r="36">
      <c r="A36" s="4" t="n">
        <v>33</v>
      </c>
      <c r="B36" s="5" t="inlineStr">
        <is>
          <t>PJ-2026-0033</t>
        </is>
      </c>
      <c r="C36" s="6" t="inlineStr">
        <is>
          <t>城东路智慧园区建设项目</t>
        </is>
      </c>
      <c r="D36" s="4" t="inlineStr">
        <is>
          <t>马军</t>
        </is>
      </c>
      <c r="E36" s="7" t="n">
        <v>4434</v>
      </c>
      <c r="F36" s="7" t="n">
        <v>2793.42</v>
      </c>
      <c r="G36" s="7">
        <f>E36-F36</f>
        <v/>
      </c>
      <c r="H36" s="8">
        <f>IFERROR(F36/E36,0)</f>
        <v/>
      </c>
      <c r="I36" s="4">
        <f>IF(H36&gt;=1,"超预算",IF(H36&gt;=0.9,"预警","正常"))</f>
        <v/>
      </c>
      <c r="J36" s="4">
        <f>RANK(F36,$F$4:$F$1203,0)</f>
        <v/>
      </c>
      <c r="K36" s="4" t="inlineStr">
        <is>
          <t>完工</t>
        </is>
      </c>
    </row>
    <row r="37">
      <c r="A37" s="4" t="n">
        <v>34</v>
      </c>
      <c r="B37" s="5" t="inlineStr">
        <is>
          <t>PJ-2026-0034</t>
        </is>
      </c>
      <c r="C37" s="6" t="inlineStr">
        <is>
          <t>解放路污水处理扩容工程（二期）</t>
        </is>
      </c>
      <c r="D37" s="4" t="inlineStr">
        <is>
          <t>朱明</t>
        </is>
      </c>
      <c r="E37" s="7" t="n">
        <v>4571</v>
      </c>
      <c r="F37" s="7" t="n">
        <v>4205.32</v>
      </c>
      <c r="G37" s="7">
        <f>E37-F37</f>
        <v/>
      </c>
      <c r="H37" s="8">
        <f>IFERROR(F37/E37,0)</f>
        <v/>
      </c>
      <c r="I37" s="4">
        <f>IF(H37&gt;=1,"超预算",IF(H37&gt;=0.9,"预警","正常"))</f>
        <v/>
      </c>
      <c r="J37" s="4">
        <f>RANK(F37,$F$4:$F$1203,0)</f>
        <v/>
      </c>
      <c r="K37" s="4" t="inlineStr">
        <is>
          <t>在建</t>
        </is>
      </c>
    </row>
    <row r="38">
      <c r="A38" s="4" t="n">
        <v>35</v>
      </c>
      <c r="B38" s="5" t="inlineStr">
        <is>
          <t>PJ-2026-0035</t>
        </is>
      </c>
      <c r="C38" s="6" t="inlineStr">
        <is>
          <t>和平街供水管网更新工程（三期）</t>
        </is>
      </c>
      <c r="D38" s="4" t="inlineStr">
        <is>
          <t>胡桂</t>
        </is>
      </c>
      <c r="E38" s="7" t="n">
        <v>4708</v>
      </c>
      <c r="F38" s="7" t="n">
        <v>2401.08</v>
      </c>
      <c r="G38" s="7">
        <f>E38-F38</f>
        <v/>
      </c>
      <c r="H38" s="8">
        <f>IFERROR(F38/E38,0)</f>
        <v/>
      </c>
      <c r="I38" s="4">
        <f>IF(H38&gt;=1,"超预算",IF(H38&gt;=0.9,"预警","正常"))</f>
        <v/>
      </c>
      <c r="J38" s="4">
        <f>RANK(F38,$F$4:$F$1203,0)</f>
        <v/>
      </c>
      <c r="K38" s="4" t="inlineStr">
        <is>
          <t>待启动</t>
        </is>
      </c>
    </row>
    <row r="39">
      <c r="A39" s="4" t="n">
        <v>36</v>
      </c>
      <c r="B39" s="5" t="inlineStr">
        <is>
          <t>PJ-2026-0036</t>
        </is>
      </c>
      <c r="C39" s="6" t="inlineStr">
        <is>
          <t>光明街河道综合整治工程（四期）</t>
        </is>
      </c>
      <c r="D39" s="4" t="inlineStr">
        <is>
          <t>郭丽</t>
        </is>
      </c>
      <c r="E39" s="7" t="n">
        <v>4845</v>
      </c>
      <c r="F39" s="7" t="n">
        <v>3876</v>
      </c>
      <c r="G39" s="7">
        <f>E39-F39</f>
        <v/>
      </c>
      <c r="H39" s="8">
        <f>IFERROR(F39/E39,0)</f>
        <v/>
      </c>
      <c r="I39" s="4">
        <f>IF(H39&gt;=1,"超预算",IF(H39&gt;=0.9,"预警","正常"))</f>
        <v/>
      </c>
      <c r="J39" s="4">
        <f>RANK(F39,$F$4:$F$1203,0)</f>
        <v/>
      </c>
      <c r="K39" s="4" t="inlineStr">
        <is>
          <t>完工</t>
        </is>
      </c>
    </row>
    <row r="40">
      <c r="A40" s="4" t="n">
        <v>37</v>
      </c>
      <c r="B40" s="5" t="inlineStr">
        <is>
          <t>PJ-2026-0037</t>
        </is>
      </c>
      <c r="C40" s="6" t="inlineStr">
        <is>
          <t>城东路学校新建工程</t>
        </is>
      </c>
      <c r="D40" s="4" t="inlineStr">
        <is>
          <t>何杰</t>
        </is>
      </c>
      <c r="E40" s="7" t="n">
        <v>4982</v>
      </c>
      <c r="F40" s="7" t="n">
        <v>5430.38</v>
      </c>
      <c r="G40" s="7">
        <f>E40-F40</f>
        <v/>
      </c>
      <c r="H40" s="8">
        <f>IFERROR(F40/E40,0)</f>
        <v/>
      </c>
      <c r="I40" s="4">
        <f>IF(H40&gt;=1,"超预算",IF(H40&gt;=0.9,"预警","正常"))</f>
        <v/>
      </c>
      <c r="J40" s="4">
        <f>RANK(F40,$F$4:$F$1203,0)</f>
        <v/>
      </c>
      <c r="K40" s="4" t="inlineStr">
        <is>
          <t>在建</t>
        </is>
      </c>
    </row>
    <row r="41">
      <c r="A41" s="4" t="n">
        <v>38</v>
      </c>
      <c r="B41" s="5" t="inlineStr">
        <is>
          <t>PJ-2026-0038</t>
        </is>
      </c>
      <c r="C41" s="6" t="inlineStr">
        <is>
          <t>解放路医院改扩建项目（二期）</t>
        </is>
      </c>
      <c r="D41" s="4" t="inlineStr">
        <is>
          <t>高霞</t>
        </is>
      </c>
      <c r="E41" s="7" t="n">
        <v>169</v>
      </c>
      <c r="F41" s="7" t="n">
        <v>114.92</v>
      </c>
      <c r="G41" s="7">
        <f>E41-F41</f>
        <v/>
      </c>
      <c r="H41" s="8">
        <f>IFERROR(F41/E41,0)</f>
        <v/>
      </c>
      <c r="I41" s="4">
        <f>IF(H41&gt;=1,"超预算",IF(H41&gt;=0.9,"预警","正常"))</f>
        <v/>
      </c>
      <c r="J41" s="4">
        <f>RANK(F41,$F$4:$F$1203,0)</f>
        <v/>
      </c>
      <c r="K41" s="4" t="inlineStr">
        <is>
          <t>待启动</t>
        </is>
      </c>
    </row>
    <row r="42">
      <c r="A42" s="4" t="n">
        <v>39</v>
      </c>
      <c r="B42" s="5" t="inlineStr">
        <is>
          <t>PJ-2026-0039</t>
        </is>
      </c>
      <c r="C42" s="6" t="inlineStr">
        <is>
          <t>和平街公交枢纽建设工程（三期）</t>
        </is>
      </c>
      <c r="D42" s="4" t="inlineStr">
        <is>
          <t>林娜</t>
        </is>
      </c>
      <c r="E42" s="7" t="n">
        <v>306</v>
      </c>
      <c r="F42" s="7" t="n">
        <v>296.82</v>
      </c>
      <c r="G42" s="7">
        <f>E42-F42</f>
        <v/>
      </c>
      <c r="H42" s="8">
        <f>IFERROR(F42/E42,0)</f>
        <v/>
      </c>
      <c r="I42" s="4">
        <f>IF(H42&gt;=1,"超预算",IF(H42&gt;=0.9,"预警","正常"))</f>
        <v/>
      </c>
      <c r="J42" s="4">
        <f>RANK(F42,$F$4:$F$1203,0)</f>
        <v/>
      </c>
      <c r="K42" s="4" t="inlineStr">
        <is>
          <t>完工</t>
        </is>
      </c>
    </row>
    <row r="43">
      <c r="A43" s="4" t="n">
        <v>40</v>
      </c>
      <c r="B43" s="5" t="inlineStr">
        <is>
          <t>PJ-2026-0040</t>
        </is>
      </c>
      <c r="C43" s="6" t="inlineStr">
        <is>
          <t>光明街公共停车场建设工程（四期）</t>
        </is>
      </c>
      <c r="D43" s="4" t="inlineStr">
        <is>
          <t>罗洋</t>
        </is>
      </c>
      <c r="E43" s="7" t="n">
        <v>443</v>
      </c>
      <c r="F43" s="7" t="n">
        <v>248.08</v>
      </c>
      <c r="G43" s="7">
        <f>E43-F43</f>
        <v/>
      </c>
      <c r="H43" s="8">
        <f>IFERROR(F43/E43,0)</f>
        <v/>
      </c>
      <c r="I43" s="4">
        <f>IF(H43&gt;=1,"超预算",IF(H43&gt;=0.9,"预警","正常"))</f>
        <v/>
      </c>
      <c r="J43" s="4">
        <f>RANK(F43,$F$4:$F$1203,0)</f>
        <v/>
      </c>
      <c r="K43" s="4" t="inlineStr">
        <is>
          <t>在建</t>
        </is>
      </c>
    </row>
    <row r="44">
      <c r="A44" s="4" t="n">
        <v>41</v>
      </c>
      <c r="B44" s="5" t="inlineStr">
        <is>
          <t>PJ-2026-0041</t>
        </is>
      </c>
      <c r="C44" s="6" t="inlineStr">
        <is>
          <t>城东路道路改造工程</t>
        </is>
      </c>
      <c r="D44" s="4" t="inlineStr">
        <is>
          <t>张超</t>
        </is>
      </c>
      <c r="E44" s="7" t="n">
        <v>580</v>
      </c>
      <c r="F44" s="7" t="n">
        <v>493</v>
      </c>
      <c r="G44" s="7">
        <f>E44-F44</f>
        <v/>
      </c>
      <c r="H44" s="8">
        <f>IFERROR(F44/E44,0)</f>
        <v/>
      </c>
      <c r="I44" s="4">
        <f>IF(H44&gt;=1,"超预算",IF(H44&gt;=0.9,"预警","正常"))</f>
        <v/>
      </c>
      <c r="J44" s="4">
        <f>RANK(F44,$F$4:$F$1203,0)</f>
        <v/>
      </c>
      <c r="K44" s="4" t="inlineStr">
        <is>
          <t>待启动</t>
        </is>
      </c>
    </row>
    <row r="45">
      <c r="A45" s="4" t="n">
        <v>42</v>
      </c>
      <c r="B45" s="5" t="inlineStr">
        <is>
          <t>PJ-2026-0042</t>
        </is>
      </c>
      <c r="C45" s="6" t="inlineStr">
        <is>
          <t>解放路老旧小区改造项目（二期）</t>
        </is>
      </c>
      <c r="D45" s="4" t="inlineStr">
        <is>
          <t>王英</t>
        </is>
      </c>
      <c r="E45" s="7" t="n">
        <v>717</v>
      </c>
      <c r="F45" s="7" t="n">
        <v>817.38</v>
      </c>
      <c r="G45" s="7">
        <f>E45-F45</f>
        <v/>
      </c>
      <c r="H45" s="8">
        <f>IFERROR(F45/E45,0)</f>
        <v/>
      </c>
      <c r="I45" s="4">
        <f>IF(H45&gt;=1,"超预算",IF(H45&gt;=0.9,"预警","正常"))</f>
        <v/>
      </c>
      <c r="J45" s="4">
        <f>RANK(F45,$F$4:$F$1203,0)</f>
        <v/>
      </c>
      <c r="K45" s="4" t="inlineStr">
        <is>
          <t>完工</t>
        </is>
      </c>
    </row>
    <row r="46">
      <c r="A46" s="4" t="n">
        <v>43</v>
      </c>
      <c r="B46" s="5" t="inlineStr">
        <is>
          <t>PJ-2026-0043</t>
        </is>
      </c>
      <c r="C46" s="6" t="inlineStr">
        <is>
          <t>和平街智慧园区建设项目（三期）</t>
        </is>
      </c>
      <c r="D46" s="4" t="inlineStr">
        <is>
          <t>李强</t>
        </is>
      </c>
      <c r="E46" s="7" t="n">
        <v>854</v>
      </c>
      <c r="F46" s="7" t="n">
        <v>623.42</v>
      </c>
      <c r="G46" s="7">
        <f>E46-F46</f>
        <v/>
      </c>
      <c r="H46" s="8">
        <f>IFERROR(F46/E46,0)</f>
        <v/>
      </c>
      <c r="I46" s="4">
        <f>IF(H46&gt;=1,"超预算",IF(H46&gt;=0.9,"预警","正常"))</f>
        <v/>
      </c>
      <c r="J46" s="4">
        <f>RANK(F46,$F$4:$F$1203,0)</f>
        <v/>
      </c>
      <c r="K46" s="4" t="inlineStr">
        <is>
          <t>在建</t>
        </is>
      </c>
    </row>
    <row r="47">
      <c r="A47" s="4" t="n">
        <v>44</v>
      </c>
      <c r="B47" s="5" t="inlineStr">
        <is>
          <t>PJ-2026-0044</t>
        </is>
      </c>
      <c r="C47" s="6" t="inlineStr">
        <is>
          <t>光明街污水处理扩容工程（四期）</t>
        </is>
      </c>
      <c r="D47" s="4" t="inlineStr">
        <is>
          <t>赵娟</t>
        </is>
      </c>
      <c r="E47" s="7" t="n">
        <v>991</v>
      </c>
      <c r="F47" s="7" t="n">
        <v>1010.82</v>
      </c>
      <c r="G47" s="7">
        <f>E47-F47</f>
        <v/>
      </c>
      <c r="H47" s="8">
        <f>IFERROR(F47/E47,0)</f>
        <v/>
      </c>
      <c r="I47" s="4">
        <f>IF(H47&gt;=1,"超预算",IF(H47&gt;=0.9,"预警","正常"))</f>
        <v/>
      </c>
      <c r="J47" s="4">
        <f>RANK(F47,$F$4:$F$1203,0)</f>
        <v/>
      </c>
      <c r="K47" s="4" t="inlineStr">
        <is>
          <t>待启动</t>
        </is>
      </c>
    </row>
    <row r="48">
      <c r="A48" s="4" t="n">
        <v>45</v>
      </c>
      <c r="B48" s="5" t="inlineStr">
        <is>
          <t>PJ-2026-0045</t>
        </is>
      </c>
      <c r="C48" s="6" t="inlineStr">
        <is>
          <t>城东路供水管网更新工程</t>
        </is>
      </c>
      <c r="D48" s="4" t="inlineStr">
        <is>
          <t>刘平</t>
        </is>
      </c>
      <c r="E48" s="7" t="n">
        <v>1128</v>
      </c>
      <c r="F48" s="7" t="n">
        <v>688.08</v>
      </c>
      <c r="G48" s="7">
        <f>E48-F48</f>
        <v/>
      </c>
      <c r="H48" s="8">
        <f>IFERROR(F48/E48,0)</f>
        <v/>
      </c>
      <c r="I48" s="4">
        <f>IF(H48&gt;=1,"超预算",IF(H48&gt;=0.9,"预警","正常"))</f>
        <v/>
      </c>
      <c r="J48" s="4">
        <f>RANK(F48,$F$4:$F$1203,0)</f>
        <v/>
      </c>
      <c r="K48" s="4" t="inlineStr">
        <is>
          <t>完工</t>
        </is>
      </c>
    </row>
    <row r="49">
      <c r="A49" s="4" t="n">
        <v>46</v>
      </c>
      <c r="B49" s="5" t="inlineStr">
        <is>
          <t>PJ-2026-0046</t>
        </is>
      </c>
      <c r="C49" s="6" t="inlineStr">
        <is>
          <t>解放路河道综合整治工程（二期）</t>
        </is>
      </c>
      <c r="D49" s="4" t="inlineStr">
        <is>
          <t>陈敏</t>
        </is>
      </c>
      <c r="E49" s="7" t="n">
        <v>1265</v>
      </c>
      <c r="F49" s="7" t="n">
        <v>1138.5</v>
      </c>
      <c r="G49" s="7">
        <f>E49-F49</f>
        <v/>
      </c>
      <c r="H49" s="8">
        <f>IFERROR(F49/E49,0)</f>
        <v/>
      </c>
      <c r="I49" s="4">
        <f>IF(H49&gt;=1,"超预算",IF(H49&gt;=0.9,"预警","正常"))</f>
        <v/>
      </c>
      <c r="J49" s="4">
        <f>RANK(F49,$F$4:$F$1203,0)</f>
        <v/>
      </c>
      <c r="K49" s="4" t="inlineStr">
        <is>
          <t>在建</t>
        </is>
      </c>
    </row>
    <row r="50">
      <c r="A50" s="4" t="n">
        <v>47</v>
      </c>
      <c r="B50" s="5" t="inlineStr">
        <is>
          <t>PJ-2026-0047</t>
        </is>
      </c>
      <c r="C50" s="6" t="inlineStr">
        <is>
          <t>和平街学校新建工程（三期）</t>
        </is>
      </c>
      <c r="D50" s="4" t="inlineStr">
        <is>
          <t>杨勇</t>
        </is>
      </c>
      <c r="E50" s="7" t="n">
        <v>1402</v>
      </c>
      <c r="F50" s="7" t="n">
        <v>686.98</v>
      </c>
      <c r="G50" s="7">
        <f>E50-F50</f>
        <v/>
      </c>
      <c r="H50" s="8">
        <f>IFERROR(F50/E50,0)</f>
        <v/>
      </c>
      <c r="I50" s="4">
        <f>IF(H50&gt;=1,"超预算",IF(H50&gt;=0.9,"预警","正常"))</f>
        <v/>
      </c>
      <c r="J50" s="4">
        <f>RANK(F50,$F$4:$F$1203,0)</f>
        <v/>
      </c>
      <c r="K50" s="4" t="inlineStr">
        <is>
          <t>待启动</t>
        </is>
      </c>
    </row>
    <row r="51">
      <c r="A51" s="4" t="n">
        <v>48</v>
      </c>
      <c r="B51" s="5" t="inlineStr">
        <is>
          <t>PJ-2026-0048</t>
        </is>
      </c>
      <c r="C51" s="6" t="inlineStr">
        <is>
          <t>光明街医院改扩建项目（四期）</t>
        </is>
      </c>
      <c r="D51" s="4" t="inlineStr">
        <is>
          <t>黄秀</t>
        </is>
      </c>
      <c r="E51" s="7" t="n">
        <v>1539</v>
      </c>
      <c r="F51" s="7" t="n">
        <v>1200.42</v>
      </c>
      <c r="G51" s="7">
        <f>E51-F51</f>
        <v/>
      </c>
      <c r="H51" s="8">
        <f>IFERROR(F51/E51,0)</f>
        <v/>
      </c>
      <c r="I51" s="4">
        <f>IF(H51&gt;=1,"超预算",IF(H51&gt;=0.9,"预警","正常"))</f>
        <v/>
      </c>
      <c r="J51" s="4">
        <f>RANK(F51,$F$4:$F$1203,0)</f>
        <v/>
      </c>
      <c r="K51" s="4" t="inlineStr">
        <is>
          <t>完工</t>
        </is>
      </c>
    </row>
    <row r="52">
      <c r="A52" s="4" t="n">
        <v>49</v>
      </c>
      <c r="B52" s="5" t="inlineStr">
        <is>
          <t>PJ-2026-0049</t>
        </is>
      </c>
      <c r="C52" s="6" t="inlineStr">
        <is>
          <t>城东路公交枢纽建设工程</t>
        </is>
      </c>
      <c r="D52" s="4" t="inlineStr">
        <is>
          <t>周伟</t>
        </is>
      </c>
      <c r="E52" s="7" t="n">
        <v>1676</v>
      </c>
      <c r="F52" s="7" t="n">
        <v>1793.32</v>
      </c>
      <c r="G52" s="7">
        <f>E52-F52</f>
        <v/>
      </c>
      <c r="H52" s="8">
        <f>IFERROR(F52/E52,0)</f>
        <v/>
      </c>
      <c r="I52" s="4">
        <f>IF(H52&gt;=1,"超预算",IF(H52&gt;=0.9,"预警","正常"))</f>
        <v/>
      </c>
      <c r="J52" s="4">
        <f>RANK(F52,$F$4:$F$1203,0)</f>
        <v/>
      </c>
      <c r="K52" s="4" t="inlineStr">
        <is>
          <t>在建</t>
        </is>
      </c>
    </row>
    <row r="53">
      <c r="A53" s="4" t="n">
        <v>50</v>
      </c>
      <c r="B53" s="5" t="inlineStr">
        <is>
          <t>PJ-2026-0050</t>
        </is>
      </c>
      <c r="C53" s="6" t="inlineStr">
        <is>
          <t>解放路公共停车场建设工程（二期）</t>
        </is>
      </c>
      <c r="D53" s="4" t="inlineStr">
        <is>
          <t>吴磊</t>
        </is>
      </c>
      <c r="E53" s="7" t="n">
        <v>1813</v>
      </c>
      <c r="F53" s="7" t="n">
        <v>1196.58</v>
      </c>
      <c r="G53" s="7">
        <f>E53-F53</f>
        <v/>
      </c>
      <c r="H53" s="8">
        <f>IFERROR(F53/E53,0)</f>
        <v/>
      </c>
      <c r="I53" s="4">
        <f>IF(H53&gt;=1,"超预算",IF(H53&gt;=0.9,"预警","正常"))</f>
        <v/>
      </c>
      <c r="J53" s="4">
        <f>RANK(F53,$F$4:$F$1203,0)</f>
        <v/>
      </c>
      <c r="K53" s="4" t="inlineStr">
        <is>
          <t>待启动</t>
        </is>
      </c>
    </row>
    <row r="54">
      <c r="A54" s="4" t="n">
        <v>51</v>
      </c>
      <c r="B54" s="5" t="inlineStr">
        <is>
          <t>PJ-2026-0051</t>
        </is>
      </c>
      <c r="C54" s="6" t="inlineStr">
        <is>
          <t>和平街道路改造工程（三期）</t>
        </is>
      </c>
      <c r="D54" s="4" t="inlineStr">
        <is>
          <t>徐涛</t>
        </is>
      </c>
      <c r="E54" s="7" t="n">
        <v>1950</v>
      </c>
      <c r="F54" s="7" t="n">
        <v>1852.5</v>
      </c>
      <c r="G54" s="7">
        <f>E54-F54</f>
        <v/>
      </c>
      <c r="H54" s="8">
        <f>IFERROR(F54/E54,0)</f>
        <v/>
      </c>
      <c r="I54" s="4">
        <f>IF(H54&gt;=1,"超预算",IF(H54&gt;=0.9,"预警","正常"))</f>
        <v/>
      </c>
      <c r="J54" s="4">
        <f>RANK(F54,$F$4:$F$1203,0)</f>
        <v/>
      </c>
      <c r="K54" s="4" t="inlineStr">
        <is>
          <t>完工</t>
        </is>
      </c>
    </row>
    <row r="55">
      <c r="A55" s="4" t="n">
        <v>52</v>
      </c>
      <c r="B55" s="5" t="inlineStr">
        <is>
          <t>PJ-2026-0052</t>
        </is>
      </c>
      <c r="C55" s="6" t="inlineStr">
        <is>
          <t>光明街老旧小区改造项目（四期）</t>
        </is>
      </c>
      <c r="D55" s="4" t="inlineStr">
        <is>
          <t>孙刚</t>
        </is>
      </c>
      <c r="E55" s="7" t="n">
        <v>2087</v>
      </c>
      <c r="F55" s="7" t="n">
        <v>1126.98</v>
      </c>
      <c r="G55" s="7">
        <f>E55-F55</f>
        <v/>
      </c>
      <c r="H55" s="8">
        <f>IFERROR(F55/E55,0)</f>
        <v/>
      </c>
      <c r="I55" s="4">
        <f>IF(H55&gt;=1,"超预算",IF(H55&gt;=0.9,"预警","正常"))</f>
        <v/>
      </c>
      <c r="J55" s="4">
        <f>RANK(F55,$F$4:$F$1203,0)</f>
        <v/>
      </c>
      <c r="K55" s="4" t="inlineStr">
        <is>
          <t>在建</t>
        </is>
      </c>
    </row>
    <row r="56">
      <c r="A56" s="4" t="n">
        <v>53</v>
      </c>
      <c r="B56" s="5" t="inlineStr">
        <is>
          <t>PJ-2026-0053</t>
        </is>
      </c>
      <c r="C56" s="6" t="inlineStr">
        <is>
          <t>城东路智慧园区建设项目</t>
        </is>
      </c>
      <c r="D56" s="4" t="inlineStr">
        <is>
          <t>马静</t>
        </is>
      </c>
      <c r="E56" s="7" t="n">
        <v>2224</v>
      </c>
      <c r="F56" s="7" t="n">
        <v>1845.92</v>
      </c>
      <c r="G56" s="7">
        <f>E56-F56</f>
        <v/>
      </c>
      <c r="H56" s="8">
        <f>IFERROR(F56/E56,0)</f>
        <v/>
      </c>
      <c r="I56" s="4">
        <f>IF(H56&gt;=1,"超预算",IF(H56&gt;=0.9,"预警","正常"))</f>
        <v/>
      </c>
      <c r="J56" s="4">
        <f>RANK(F56,$F$4:$F$1203,0)</f>
        <v/>
      </c>
      <c r="K56" s="4" t="inlineStr">
        <is>
          <t>待启动</t>
        </is>
      </c>
    </row>
    <row r="57">
      <c r="A57" s="4" t="n">
        <v>54</v>
      </c>
      <c r="B57" s="5" t="inlineStr">
        <is>
          <t>PJ-2026-0054</t>
        </is>
      </c>
      <c r="C57" s="6" t="inlineStr">
        <is>
          <t>解放路污水处理扩容工程（二期）</t>
        </is>
      </c>
      <c r="D57" s="4" t="inlineStr">
        <is>
          <t>朱艳</t>
        </is>
      </c>
      <c r="E57" s="7" t="n">
        <v>2361</v>
      </c>
      <c r="F57" s="7" t="n">
        <v>2644.32</v>
      </c>
      <c r="G57" s="7">
        <f>E57-F57</f>
        <v/>
      </c>
      <c r="H57" s="8">
        <f>IFERROR(F57/E57,0)</f>
        <v/>
      </c>
      <c r="I57" s="4">
        <f>IF(H57&gt;=1,"超预算",IF(H57&gt;=0.9,"预警","正常"))</f>
        <v/>
      </c>
      <c r="J57" s="4">
        <f>RANK(F57,$F$4:$F$1203,0)</f>
        <v/>
      </c>
      <c r="K57" s="4" t="inlineStr">
        <is>
          <t>完工</t>
        </is>
      </c>
    </row>
    <row r="58">
      <c r="A58" s="4" t="n">
        <v>55</v>
      </c>
      <c r="B58" s="5" t="inlineStr">
        <is>
          <t>PJ-2026-0055</t>
        </is>
      </c>
      <c r="C58" s="6" t="inlineStr">
        <is>
          <t>和平街供水管网更新工程（三期）</t>
        </is>
      </c>
      <c r="D58" s="4" t="inlineStr">
        <is>
          <t>胡英</t>
        </is>
      </c>
      <c r="E58" s="7" t="n">
        <v>2498</v>
      </c>
      <c r="F58" s="7" t="n">
        <v>1773.58</v>
      </c>
      <c r="G58" s="7">
        <f>E58-F58</f>
        <v/>
      </c>
      <c r="H58" s="8">
        <f>IFERROR(F58/E58,0)</f>
        <v/>
      </c>
      <c r="I58" s="4">
        <f>IF(H58&gt;=1,"超预算",IF(H58&gt;=0.9,"预警","正常"))</f>
        <v/>
      </c>
      <c r="J58" s="4">
        <f>RANK(F58,$F$4:$F$1203,0)</f>
        <v/>
      </c>
      <c r="K58" s="4" t="inlineStr">
        <is>
          <t>在建</t>
        </is>
      </c>
    </row>
    <row r="59">
      <c r="A59" s="4" t="n">
        <v>56</v>
      </c>
      <c r="B59" s="5" t="inlineStr">
        <is>
          <t>PJ-2026-0056</t>
        </is>
      </c>
      <c r="C59" s="6" t="inlineStr">
        <is>
          <t>光明街河道综合整治工程（四期）</t>
        </is>
      </c>
      <c r="D59" s="4" t="inlineStr">
        <is>
          <t>郭芳</t>
        </is>
      </c>
      <c r="E59" s="7" t="n">
        <v>2635</v>
      </c>
      <c r="F59" s="7" t="n">
        <v>2635</v>
      </c>
      <c r="G59" s="7">
        <f>E59-F59</f>
        <v/>
      </c>
      <c r="H59" s="8">
        <f>IFERROR(F59/E59,0)</f>
        <v/>
      </c>
      <c r="I59" s="4">
        <f>IF(H59&gt;=1,"超预算",IF(H59&gt;=0.9,"预警","正常"))</f>
        <v/>
      </c>
      <c r="J59" s="4">
        <f>RANK(F59,$F$4:$F$1203,0)</f>
        <v/>
      </c>
      <c r="K59" s="4" t="inlineStr">
        <is>
          <t>待启动</t>
        </is>
      </c>
    </row>
    <row r="60">
      <c r="A60" s="4" t="n">
        <v>57</v>
      </c>
      <c r="B60" s="5" t="inlineStr">
        <is>
          <t>PJ-2026-0057</t>
        </is>
      </c>
      <c r="C60" s="6" t="inlineStr">
        <is>
          <t>城东路学校新建工程</t>
        </is>
      </c>
      <c r="D60" s="4" t="inlineStr">
        <is>
          <t>何军</t>
        </is>
      </c>
      <c r="E60" s="7" t="n">
        <v>2772</v>
      </c>
      <c r="F60" s="7" t="n">
        <v>1635.48</v>
      </c>
      <c r="G60" s="7">
        <f>E60-F60</f>
        <v/>
      </c>
      <c r="H60" s="8">
        <f>IFERROR(F60/E60,0)</f>
        <v/>
      </c>
      <c r="I60" s="4">
        <f>IF(H60&gt;=1,"超预算",IF(H60&gt;=0.9,"预警","正常"))</f>
        <v/>
      </c>
      <c r="J60" s="4">
        <f>RANK(F60,$F$4:$F$1203,0)</f>
        <v/>
      </c>
      <c r="K60" s="4" t="inlineStr">
        <is>
          <t>完工</t>
        </is>
      </c>
    </row>
    <row r="61">
      <c r="A61" s="4" t="n">
        <v>58</v>
      </c>
      <c r="B61" s="5" t="inlineStr">
        <is>
          <t>PJ-2026-0058</t>
        </is>
      </c>
      <c r="C61" s="6" t="inlineStr">
        <is>
          <t>解放路医院改扩建项目（二期）</t>
        </is>
      </c>
      <c r="D61" s="4" t="inlineStr">
        <is>
          <t>高明</t>
        </is>
      </c>
      <c r="E61" s="7" t="n">
        <v>2909</v>
      </c>
      <c r="F61" s="7" t="n">
        <v>2559.92</v>
      </c>
      <c r="G61" s="7">
        <f>E61-F61</f>
        <v/>
      </c>
      <c r="H61" s="8">
        <f>IFERROR(F61/E61,0)</f>
        <v/>
      </c>
      <c r="I61" s="4">
        <f>IF(H61&gt;=1,"超预算",IF(H61&gt;=0.9,"预警","正常"))</f>
        <v/>
      </c>
      <c r="J61" s="4">
        <f>RANK(F61,$F$4:$F$1203,0)</f>
        <v/>
      </c>
      <c r="K61" s="4" t="inlineStr">
        <is>
          <t>在建</t>
        </is>
      </c>
    </row>
    <row r="62">
      <c r="A62" s="4" t="n">
        <v>59</v>
      </c>
      <c r="B62" s="5" t="inlineStr">
        <is>
          <t>PJ-2026-0059</t>
        </is>
      </c>
      <c r="C62" s="6" t="inlineStr">
        <is>
          <t>和平街公交枢纽建设工程（三期）</t>
        </is>
      </c>
      <c r="D62" s="4" t="inlineStr">
        <is>
          <t>林桂</t>
        </is>
      </c>
      <c r="E62" s="7" t="n">
        <v>3046</v>
      </c>
      <c r="F62" s="7" t="n">
        <v>1431.62</v>
      </c>
      <c r="G62" s="7">
        <f>E62-F62</f>
        <v/>
      </c>
      <c r="H62" s="8">
        <f>IFERROR(F62/E62,0)</f>
        <v/>
      </c>
      <c r="I62" s="4">
        <f>IF(H62&gt;=1,"超预算",IF(H62&gt;=0.9,"预警","正常"))</f>
        <v/>
      </c>
      <c r="J62" s="4">
        <f>RANK(F62,$F$4:$F$1203,0)</f>
        <v/>
      </c>
      <c r="K62" s="4" t="inlineStr">
        <is>
          <t>待启动</t>
        </is>
      </c>
    </row>
    <row r="63">
      <c r="A63" s="4" t="n">
        <v>60</v>
      </c>
      <c r="B63" s="5" t="inlineStr">
        <is>
          <t>PJ-2026-0060</t>
        </is>
      </c>
      <c r="C63" s="6" t="inlineStr">
        <is>
          <t>光明街公共停车场建设工程（四期）</t>
        </is>
      </c>
      <c r="D63" s="4" t="inlineStr">
        <is>
          <t>罗丽</t>
        </is>
      </c>
      <c r="E63" s="7" t="n">
        <v>3183</v>
      </c>
      <c r="F63" s="7" t="n">
        <v>2419.08</v>
      </c>
      <c r="G63" s="7">
        <f>E63-F63</f>
        <v/>
      </c>
      <c r="H63" s="8">
        <f>IFERROR(F63/E63,0)</f>
        <v/>
      </c>
      <c r="I63" s="4">
        <f>IF(H63&gt;=1,"超预算",IF(H63&gt;=0.9,"预警","正常"))</f>
        <v/>
      </c>
      <c r="J63" s="4">
        <f>RANK(F63,$F$4:$F$1203,0)</f>
        <v/>
      </c>
      <c r="K63" s="4" t="inlineStr">
        <is>
          <t>完工</t>
        </is>
      </c>
    </row>
    <row r="64">
      <c r="A64" s="4" t="n">
        <v>61</v>
      </c>
      <c r="B64" s="5" t="inlineStr">
        <is>
          <t>PJ-2026-0061</t>
        </is>
      </c>
      <c r="C64" s="6" t="inlineStr">
        <is>
          <t>城东路道路改造工程</t>
        </is>
      </c>
      <c r="D64" s="4" t="inlineStr">
        <is>
          <t>张杰</t>
        </is>
      </c>
      <c r="E64" s="7" t="n">
        <v>3320</v>
      </c>
      <c r="F64" s="7" t="n">
        <v>3486</v>
      </c>
      <c r="G64" s="7">
        <f>E64-F64</f>
        <v/>
      </c>
      <c r="H64" s="8">
        <f>IFERROR(F64/E64,0)</f>
        <v/>
      </c>
      <c r="I64" s="4">
        <f>IF(H64&gt;=1,"超预算",IF(H64&gt;=0.9,"预警","正常"))</f>
        <v/>
      </c>
      <c r="J64" s="4">
        <f>RANK(F64,$F$4:$F$1203,0)</f>
        <v/>
      </c>
      <c r="K64" s="4" t="inlineStr">
        <is>
          <t>在建</t>
        </is>
      </c>
    </row>
    <row r="65">
      <c r="A65" s="4" t="n">
        <v>62</v>
      </c>
      <c r="B65" s="5" t="inlineStr">
        <is>
          <t>PJ-2026-0062</t>
        </is>
      </c>
      <c r="C65" s="6" t="inlineStr">
        <is>
          <t>解放路老旧小区改造项目（二期）</t>
        </is>
      </c>
      <c r="D65" s="4" t="inlineStr">
        <is>
          <t>王霞</t>
        </is>
      </c>
      <c r="E65" s="7" t="n">
        <v>3457</v>
      </c>
      <c r="F65" s="7" t="n">
        <v>2212.48</v>
      </c>
      <c r="G65" s="7">
        <f>E65-F65</f>
        <v/>
      </c>
      <c r="H65" s="8">
        <f>IFERROR(F65/E65,0)</f>
        <v/>
      </c>
      <c r="I65" s="4">
        <f>IF(H65&gt;=1,"超预算",IF(H65&gt;=0.9,"预警","正常"))</f>
        <v/>
      </c>
      <c r="J65" s="4">
        <f>RANK(F65,$F$4:$F$1203,0)</f>
        <v/>
      </c>
      <c r="K65" s="4" t="inlineStr">
        <is>
          <t>待启动</t>
        </is>
      </c>
    </row>
    <row r="66">
      <c r="A66" s="4" t="n">
        <v>63</v>
      </c>
      <c r="B66" s="5" t="inlineStr">
        <is>
          <t>PJ-2026-0063</t>
        </is>
      </c>
      <c r="C66" s="6" t="inlineStr">
        <is>
          <t>和平街智慧园区建设项目（三期）</t>
        </is>
      </c>
      <c r="D66" s="4" t="inlineStr">
        <is>
          <t>李娜</t>
        </is>
      </c>
      <c r="E66" s="7" t="n">
        <v>3594</v>
      </c>
      <c r="F66" s="7" t="n">
        <v>3342.42</v>
      </c>
      <c r="G66" s="7">
        <f>E66-F66</f>
        <v/>
      </c>
      <c r="H66" s="8">
        <f>IFERROR(F66/E66,0)</f>
        <v/>
      </c>
      <c r="I66" s="4">
        <f>IF(H66&gt;=1,"超预算",IF(H66&gt;=0.9,"预警","正常"))</f>
        <v/>
      </c>
      <c r="J66" s="4">
        <f>RANK(F66,$F$4:$F$1203,0)</f>
        <v/>
      </c>
      <c r="K66" s="4" t="inlineStr">
        <is>
          <t>完工</t>
        </is>
      </c>
    </row>
    <row r="67">
      <c r="A67" s="4" t="n">
        <v>64</v>
      </c>
      <c r="B67" s="5" t="inlineStr">
        <is>
          <t>PJ-2026-0064</t>
        </is>
      </c>
      <c r="C67" s="6" t="inlineStr">
        <is>
          <t>光明街污水处理扩容工程（四期）</t>
        </is>
      </c>
      <c r="D67" s="4" t="inlineStr">
        <is>
          <t>赵洋</t>
        </is>
      </c>
      <c r="E67" s="7" t="n">
        <v>3731</v>
      </c>
      <c r="F67" s="7" t="n">
        <v>1940.12</v>
      </c>
      <c r="G67" s="7">
        <f>E67-F67</f>
        <v/>
      </c>
      <c r="H67" s="8">
        <f>IFERROR(F67/E67,0)</f>
        <v/>
      </c>
      <c r="I67" s="4">
        <f>IF(H67&gt;=1,"超预算",IF(H67&gt;=0.9,"预警","正常"))</f>
        <v/>
      </c>
      <c r="J67" s="4">
        <f>RANK(F67,$F$4:$F$1203,0)</f>
        <v/>
      </c>
      <c r="K67" s="4" t="inlineStr">
        <is>
          <t>在建</t>
        </is>
      </c>
    </row>
    <row r="68">
      <c r="A68" s="4" t="n">
        <v>65</v>
      </c>
      <c r="B68" s="5" t="inlineStr">
        <is>
          <t>PJ-2026-0065</t>
        </is>
      </c>
      <c r="C68" s="6" t="inlineStr">
        <is>
          <t>城东路供水管网更新工程</t>
        </is>
      </c>
      <c r="D68" s="4" t="inlineStr">
        <is>
          <t>刘超</t>
        </is>
      </c>
      <c r="E68" s="7" t="n">
        <v>3868</v>
      </c>
      <c r="F68" s="7" t="n">
        <v>3133.08</v>
      </c>
      <c r="G68" s="7">
        <f>E68-F68</f>
        <v/>
      </c>
      <c r="H68" s="8">
        <f>IFERROR(F68/E68,0)</f>
        <v/>
      </c>
      <c r="I68" s="4">
        <f>IF(H68&gt;=1,"超预算",IF(H68&gt;=0.9,"预警","正常"))</f>
        <v/>
      </c>
      <c r="J68" s="4">
        <f>RANK(F68,$F$4:$F$1203,0)</f>
        <v/>
      </c>
      <c r="K68" s="4" t="inlineStr">
        <is>
          <t>待启动</t>
        </is>
      </c>
    </row>
    <row r="69">
      <c r="A69" s="4" t="n">
        <v>66</v>
      </c>
      <c r="B69" s="5" t="inlineStr">
        <is>
          <t>PJ-2026-0066</t>
        </is>
      </c>
      <c r="C69" s="6" t="inlineStr">
        <is>
          <t>解放路河道综合整治工程（二期）</t>
        </is>
      </c>
      <c r="D69" s="4" t="inlineStr">
        <is>
          <t>陈英</t>
        </is>
      </c>
      <c r="E69" s="7" t="n">
        <v>4005</v>
      </c>
      <c r="F69" s="7" t="n">
        <v>4405.5</v>
      </c>
      <c r="G69" s="7">
        <f>E69-F69</f>
        <v/>
      </c>
      <c r="H69" s="8">
        <f>IFERROR(F69/E69,0)</f>
        <v/>
      </c>
      <c r="I69" s="4">
        <f>IF(H69&gt;=1,"超预算",IF(H69&gt;=0.9,"预警","正常"))</f>
        <v/>
      </c>
      <c r="J69" s="4">
        <f>RANK(F69,$F$4:$F$1203,0)</f>
        <v/>
      </c>
      <c r="K69" s="4" t="inlineStr">
        <is>
          <t>完工</t>
        </is>
      </c>
    </row>
    <row r="70">
      <c r="A70" s="4" t="n">
        <v>67</v>
      </c>
      <c r="B70" s="5" t="inlineStr">
        <is>
          <t>PJ-2026-0067</t>
        </is>
      </c>
      <c r="C70" s="6" t="inlineStr">
        <is>
          <t>和平街学校新建工程（三期）</t>
        </is>
      </c>
      <c r="D70" s="4" t="inlineStr">
        <is>
          <t>杨强</t>
        </is>
      </c>
      <c r="E70" s="7" t="n">
        <v>4142</v>
      </c>
      <c r="F70" s="7" t="n">
        <v>2857.98</v>
      </c>
      <c r="G70" s="7">
        <f>E70-F70</f>
        <v/>
      </c>
      <c r="H70" s="8">
        <f>IFERROR(F70/E70,0)</f>
        <v/>
      </c>
      <c r="I70" s="4">
        <f>IF(H70&gt;=1,"超预算",IF(H70&gt;=0.9,"预警","正常"))</f>
        <v/>
      </c>
      <c r="J70" s="4">
        <f>RANK(F70,$F$4:$F$1203,0)</f>
        <v/>
      </c>
      <c r="K70" s="4" t="inlineStr">
        <is>
          <t>在建</t>
        </is>
      </c>
    </row>
    <row r="71">
      <c r="A71" s="4" t="n">
        <v>68</v>
      </c>
      <c r="B71" s="5" t="inlineStr">
        <is>
          <t>PJ-2026-0068</t>
        </is>
      </c>
      <c r="C71" s="6" t="inlineStr">
        <is>
          <t>光明街医院改扩建项目（四期）</t>
        </is>
      </c>
      <c r="D71" s="4" t="inlineStr">
        <is>
          <t>黄娟</t>
        </is>
      </c>
      <c r="E71" s="7" t="n">
        <v>4279</v>
      </c>
      <c r="F71" s="7" t="n">
        <v>4193.42</v>
      </c>
      <c r="G71" s="7">
        <f>E71-F71</f>
        <v/>
      </c>
      <c r="H71" s="8">
        <f>IFERROR(F71/E71,0)</f>
        <v/>
      </c>
      <c r="I71" s="4">
        <f>IF(H71&gt;=1,"超预算",IF(H71&gt;=0.9,"预警","正常"))</f>
        <v/>
      </c>
      <c r="J71" s="4">
        <f>RANK(F71,$F$4:$F$1203,0)</f>
        <v/>
      </c>
      <c r="K71" s="4" t="inlineStr">
        <is>
          <t>待启动</t>
        </is>
      </c>
    </row>
    <row r="72">
      <c r="A72" s="4" t="n">
        <v>69</v>
      </c>
      <c r="B72" s="5" t="inlineStr">
        <is>
          <t>PJ-2026-0069</t>
        </is>
      </c>
      <c r="C72" s="6" t="inlineStr">
        <is>
          <t>城东路公交枢纽建设工程</t>
        </is>
      </c>
      <c r="D72" s="4" t="inlineStr">
        <is>
          <t>周平</t>
        </is>
      </c>
      <c r="E72" s="7" t="n">
        <v>4416</v>
      </c>
      <c r="F72" s="7" t="n">
        <v>2517.12</v>
      </c>
      <c r="G72" s="7">
        <f>E72-F72</f>
        <v/>
      </c>
      <c r="H72" s="8">
        <f>IFERROR(F72/E72,0)</f>
        <v/>
      </c>
      <c r="I72" s="4">
        <f>IF(H72&gt;=1,"超预算",IF(H72&gt;=0.9,"预警","正常"))</f>
        <v/>
      </c>
      <c r="J72" s="4">
        <f>RANK(F72,$F$4:$F$1203,0)</f>
        <v/>
      </c>
      <c r="K72" s="4" t="inlineStr">
        <is>
          <t>完工</t>
        </is>
      </c>
    </row>
    <row r="73">
      <c r="A73" s="4" t="n">
        <v>70</v>
      </c>
      <c r="B73" s="5" t="inlineStr">
        <is>
          <t>PJ-2026-0070</t>
        </is>
      </c>
      <c r="C73" s="6" t="inlineStr">
        <is>
          <t>解放路公共停车场建设工程（二期）</t>
        </is>
      </c>
      <c r="D73" s="4" t="inlineStr">
        <is>
          <t>吴敏</t>
        </is>
      </c>
      <c r="E73" s="7" t="n">
        <v>4553</v>
      </c>
      <c r="F73" s="7" t="n">
        <v>3915.58</v>
      </c>
      <c r="G73" s="7">
        <f>E73-F73</f>
        <v/>
      </c>
      <c r="H73" s="8">
        <f>IFERROR(F73/E73,0)</f>
        <v/>
      </c>
      <c r="I73" s="4">
        <f>IF(H73&gt;=1,"超预算",IF(H73&gt;=0.9,"预警","正常"))</f>
        <v/>
      </c>
      <c r="J73" s="4">
        <f>RANK(F73,$F$4:$F$1203,0)</f>
        <v/>
      </c>
      <c r="K73" s="4" t="inlineStr">
        <is>
          <t>在建</t>
        </is>
      </c>
    </row>
    <row r="74">
      <c r="A74" s="4" t="n">
        <v>71</v>
      </c>
      <c r="B74" s="5" t="inlineStr">
        <is>
          <t>PJ-2026-0071</t>
        </is>
      </c>
      <c r="C74" s="6" t="inlineStr">
        <is>
          <t>和平街道路改造工程（三期）</t>
        </is>
      </c>
      <c r="D74" s="4" t="inlineStr">
        <is>
          <t>徐勇</t>
        </is>
      </c>
      <c r="E74" s="7" t="n">
        <v>4690</v>
      </c>
      <c r="F74" s="7" t="n">
        <v>2110.5</v>
      </c>
      <c r="G74" s="7">
        <f>E74-F74</f>
        <v/>
      </c>
      <c r="H74" s="8">
        <f>IFERROR(F74/E74,0)</f>
        <v/>
      </c>
      <c r="I74" s="4">
        <f>IF(H74&gt;=1,"超预算",IF(H74&gt;=0.9,"预警","正常"))</f>
        <v/>
      </c>
      <c r="J74" s="4">
        <f>RANK(F74,$F$4:$F$1203,0)</f>
        <v/>
      </c>
      <c r="K74" s="4" t="inlineStr">
        <is>
          <t>待启动</t>
        </is>
      </c>
    </row>
    <row r="75">
      <c r="A75" s="4" t="n">
        <v>72</v>
      </c>
      <c r="B75" s="5" t="inlineStr">
        <is>
          <t>PJ-2026-0072</t>
        </is>
      </c>
      <c r="C75" s="6" t="inlineStr">
        <is>
          <t>光明街老旧小区改造项目（四期）</t>
        </is>
      </c>
      <c r="D75" s="4" t="inlineStr">
        <is>
          <t>孙秀</t>
        </is>
      </c>
      <c r="E75" s="7" t="n">
        <v>4827</v>
      </c>
      <c r="F75" s="7" t="n">
        <v>3571.98</v>
      </c>
      <c r="G75" s="7">
        <f>E75-F75</f>
        <v/>
      </c>
      <c r="H75" s="8">
        <f>IFERROR(F75/E75,0)</f>
        <v/>
      </c>
      <c r="I75" s="4">
        <f>IF(H75&gt;=1,"超预算",IF(H75&gt;=0.9,"预警","正常"))</f>
        <v/>
      </c>
      <c r="J75" s="4">
        <f>RANK(F75,$F$4:$F$1203,0)</f>
        <v/>
      </c>
      <c r="K75" s="4" t="inlineStr">
        <is>
          <t>完工</t>
        </is>
      </c>
    </row>
    <row r="76">
      <c r="A76" s="4" t="n">
        <v>73</v>
      </c>
      <c r="B76" s="5" t="inlineStr">
        <is>
          <t>PJ-2026-0073</t>
        </is>
      </c>
      <c r="C76" s="6" t="inlineStr">
        <is>
          <t>城东路智慧园区建设项目</t>
        </is>
      </c>
      <c r="D76" s="4" t="inlineStr">
        <is>
          <t>马伟</t>
        </is>
      </c>
      <c r="E76" s="7" t="n">
        <v>4964</v>
      </c>
      <c r="F76" s="7" t="n">
        <v>5112.92</v>
      </c>
      <c r="G76" s="7">
        <f>E76-F76</f>
        <v/>
      </c>
      <c r="H76" s="8">
        <f>IFERROR(F76/E76,0)</f>
        <v/>
      </c>
      <c r="I76" s="4">
        <f>IF(H76&gt;=1,"超预算",IF(H76&gt;=0.9,"预警","正常"))</f>
        <v/>
      </c>
      <c r="J76" s="4">
        <f>RANK(F76,$F$4:$F$1203,0)</f>
        <v/>
      </c>
      <c r="K76" s="4" t="inlineStr">
        <is>
          <t>在建</t>
        </is>
      </c>
    </row>
    <row r="77">
      <c r="A77" s="4" t="n">
        <v>74</v>
      </c>
      <c r="B77" s="5" t="inlineStr">
        <is>
          <t>PJ-2026-0074</t>
        </is>
      </c>
      <c r="C77" s="6" t="inlineStr">
        <is>
          <t>解放路污水处理扩容工程（二期）</t>
        </is>
      </c>
      <c r="D77" s="4" t="inlineStr">
        <is>
          <t>朱磊</t>
        </is>
      </c>
      <c r="E77" s="7" t="n">
        <v>151</v>
      </c>
      <c r="F77" s="7" t="n">
        <v>93.62</v>
      </c>
      <c r="G77" s="7">
        <f>E77-F77</f>
        <v/>
      </c>
      <c r="H77" s="8">
        <f>IFERROR(F77/E77,0)</f>
        <v/>
      </c>
      <c r="I77" s="4">
        <f>IF(H77&gt;=1,"超预算",IF(H77&gt;=0.9,"预警","正常"))</f>
        <v/>
      </c>
      <c r="J77" s="4">
        <f>RANK(F77,$F$4:$F$1203,0)</f>
        <v/>
      </c>
      <c r="K77" s="4" t="inlineStr">
        <is>
          <t>待启动</t>
        </is>
      </c>
    </row>
    <row r="78">
      <c r="A78" s="4" t="n">
        <v>75</v>
      </c>
      <c r="B78" s="5" t="inlineStr">
        <is>
          <t>PJ-2026-0075</t>
        </is>
      </c>
      <c r="C78" s="6" t="inlineStr">
        <is>
          <t>和平街供水管网更新工程（三期）</t>
        </is>
      </c>
      <c r="D78" s="4" t="inlineStr">
        <is>
          <t>胡涛</t>
        </is>
      </c>
      <c r="E78" s="7" t="n">
        <v>288</v>
      </c>
      <c r="F78" s="7" t="n">
        <v>262.08</v>
      </c>
      <c r="G78" s="7">
        <f>E78-F78</f>
        <v/>
      </c>
      <c r="H78" s="8">
        <f>IFERROR(F78/E78,0)</f>
        <v/>
      </c>
      <c r="I78" s="4">
        <f>IF(H78&gt;=1,"超预算",IF(H78&gt;=0.9,"预警","正常"))</f>
        <v/>
      </c>
      <c r="J78" s="4">
        <f>RANK(F78,$F$4:$F$1203,0)</f>
        <v/>
      </c>
      <c r="K78" s="4" t="inlineStr">
        <is>
          <t>完工</t>
        </is>
      </c>
    </row>
    <row r="79">
      <c r="A79" s="4" t="n">
        <v>76</v>
      </c>
      <c r="B79" s="5" t="inlineStr">
        <is>
          <t>PJ-2026-0076</t>
        </is>
      </c>
      <c r="C79" s="6" t="inlineStr">
        <is>
          <t>光明街河道综合整治工程（四期）</t>
        </is>
      </c>
      <c r="D79" s="4" t="inlineStr">
        <is>
          <t>郭刚</t>
        </is>
      </c>
      <c r="E79" s="7" t="n">
        <v>425</v>
      </c>
      <c r="F79" s="7" t="n">
        <v>212.5</v>
      </c>
      <c r="G79" s="7">
        <f>E79-F79</f>
        <v/>
      </c>
      <c r="H79" s="8">
        <f>IFERROR(F79/E79,0)</f>
        <v/>
      </c>
      <c r="I79" s="4">
        <f>IF(H79&gt;=1,"超预算",IF(H79&gt;=0.9,"预警","正常"))</f>
        <v/>
      </c>
      <c r="J79" s="4">
        <f>RANK(F79,$F$4:$F$1203,0)</f>
        <v/>
      </c>
      <c r="K79" s="4" t="inlineStr">
        <is>
          <t>在建</t>
        </is>
      </c>
    </row>
    <row r="80">
      <c r="A80" s="4" t="n">
        <v>77</v>
      </c>
      <c r="B80" s="5" t="inlineStr">
        <is>
          <t>PJ-2026-0077</t>
        </is>
      </c>
      <c r="C80" s="6" t="inlineStr">
        <is>
          <t>城东路学校新建工程</t>
        </is>
      </c>
      <c r="D80" s="4" t="inlineStr">
        <is>
          <t>何静</t>
        </is>
      </c>
      <c r="E80" s="7" t="n">
        <v>562</v>
      </c>
      <c r="F80" s="7" t="n">
        <v>443.98</v>
      </c>
      <c r="G80" s="7">
        <f>E80-F80</f>
        <v/>
      </c>
      <c r="H80" s="8">
        <f>IFERROR(F80/E80,0)</f>
        <v/>
      </c>
      <c r="I80" s="4">
        <f>IF(H80&gt;=1,"超预算",IF(H80&gt;=0.9,"预警","正常"))</f>
        <v/>
      </c>
      <c r="J80" s="4">
        <f>RANK(F80,$F$4:$F$1203,0)</f>
        <v/>
      </c>
      <c r="K80" s="4" t="inlineStr">
        <is>
          <t>待启动</t>
        </is>
      </c>
    </row>
    <row r="81">
      <c r="A81" s="4" t="n">
        <v>78</v>
      </c>
      <c r="B81" s="5" t="inlineStr">
        <is>
          <t>PJ-2026-0078</t>
        </is>
      </c>
      <c r="C81" s="6" t="inlineStr">
        <is>
          <t>解放路医院改扩建项目（二期）</t>
        </is>
      </c>
      <c r="D81" s="4" t="inlineStr">
        <is>
          <t>高艳</t>
        </is>
      </c>
      <c r="E81" s="7" t="n">
        <v>699</v>
      </c>
      <c r="F81" s="7" t="n">
        <v>754.92</v>
      </c>
      <c r="G81" s="7">
        <f>E81-F81</f>
        <v/>
      </c>
      <c r="H81" s="8">
        <f>IFERROR(F81/E81,0)</f>
        <v/>
      </c>
      <c r="I81" s="4">
        <f>IF(H81&gt;=1,"超预算",IF(H81&gt;=0.9,"预警","正常"))</f>
        <v/>
      </c>
      <c r="J81" s="4">
        <f>RANK(F81,$F$4:$F$1203,0)</f>
        <v/>
      </c>
      <c r="K81" s="4" t="inlineStr">
        <is>
          <t>完工</t>
        </is>
      </c>
    </row>
    <row r="82">
      <c r="A82" s="4" t="n">
        <v>79</v>
      </c>
      <c r="B82" s="5" t="inlineStr">
        <is>
          <t>PJ-2026-0079</t>
        </is>
      </c>
      <c r="C82" s="6" t="inlineStr">
        <is>
          <t>和平街公交枢纽建设工程（三期）</t>
        </is>
      </c>
      <c r="D82" s="4" t="inlineStr">
        <is>
          <t>林英</t>
        </is>
      </c>
      <c r="E82" s="7" t="n">
        <v>836</v>
      </c>
      <c r="F82" s="7" t="n">
        <v>560.12</v>
      </c>
      <c r="G82" s="7">
        <f>E82-F82</f>
        <v/>
      </c>
      <c r="H82" s="8">
        <f>IFERROR(F82/E82,0)</f>
        <v/>
      </c>
      <c r="I82" s="4">
        <f>IF(H82&gt;=1,"超预算",IF(H82&gt;=0.9,"预警","正常"))</f>
        <v/>
      </c>
      <c r="J82" s="4">
        <f>RANK(F82,$F$4:$F$1203,0)</f>
        <v/>
      </c>
      <c r="K82" s="4" t="inlineStr">
        <is>
          <t>在建</t>
        </is>
      </c>
    </row>
    <row r="83">
      <c r="A83" s="4" t="n">
        <v>80</v>
      </c>
      <c r="B83" s="5" t="inlineStr">
        <is>
          <t>PJ-2026-0080</t>
        </is>
      </c>
      <c r="C83" s="6" t="inlineStr">
        <is>
          <t>光明街公共停车场建设工程（四期）</t>
        </is>
      </c>
      <c r="D83" s="4" t="inlineStr">
        <is>
          <t>罗芳</t>
        </is>
      </c>
      <c r="E83" s="7" t="n">
        <v>973</v>
      </c>
      <c r="F83" s="7" t="n">
        <v>934.08</v>
      </c>
      <c r="G83" s="7">
        <f>E83-F83</f>
        <v/>
      </c>
      <c r="H83" s="8">
        <f>IFERROR(F83/E83,0)</f>
        <v/>
      </c>
      <c r="I83" s="4">
        <f>IF(H83&gt;=1,"超预算",IF(H83&gt;=0.9,"预警","正常"))</f>
        <v/>
      </c>
      <c r="J83" s="4">
        <f>RANK(F83,$F$4:$F$1203,0)</f>
        <v/>
      </c>
      <c r="K83" s="4" t="inlineStr">
        <is>
          <t>待启动</t>
        </is>
      </c>
    </row>
    <row r="84">
      <c r="A84" s="4" t="n">
        <v>81</v>
      </c>
      <c r="B84" s="5" t="inlineStr">
        <is>
          <t>PJ-2026-0081</t>
        </is>
      </c>
      <c r="C84" s="6" t="inlineStr">
        <is>
          <t>城东路道路改造工程</t>
        </is>
      </c>
      <c r="D84" s="4" t="inlineStr">
        <is>
          <t>张军</t>
        </is>
      </c>
      <c r="E84" s="7" t="n">
        <v>1110</v>
      </c>
      <c r="F84" s="7" t="n">
        <v>610.5</v>
      </c>
      <c r="G84" s="7">
        <f>E84-F84</f>
        <v/>
      </c>
      <c r="H84" s="8">
        <f>IFERROR(F84/E84,0)</f>
        <v/>
      </c>
      <c r="I84" s="4">
        <f>IF(H84&gt;=1,"超预算",IF(H84&gt;=0.9,"预警","正常"))</f>
        <v/>
      </c>
      <c r="J84" s="4">
        <f>RANK(F84,$F$4:$F$1203,0)</f>
        <v/>
      </c>
      <c r="K84" s="4" t="inlineStr">
        <is>
          <t>完工</t>
        </is>
      </c>
    </row>
    <row r="85">
      <c r="A85" s="4" t="n">
        <v>82</v>
      </c>
      <c r="B85" s="5" t="inlineStr">
        <is>
          <t>PJ-2026-0082</t>
        </is>
      </c>
      <c r="C85" s="6" t="inlineStr">
        <is>
          <t>解放路老旧小区改造项目（二期）</t>
        </is>
      </c>
      <c r="D85" s="4" t="inlineStr">
        <is>
          <t>王明</t>
        </is>
      </c>
      <c r="E85" s="7" t="n">
        <v>1247</v>
      </c>
      <c r="F85" s="7" t="n">
        <v>1047.48</v>
      </c>
      <c r="G85" s="7">
        <f>E85-F85</f>
        <v/>
      </c>
      <c r="H85" s="8">
        <f>IFERROR(F85/E85,0)</f>
        <v/>
      </c>
      <c r="I85" s="4">
        <f>IF(H85&gt;=1,"超预算",IF(H85&gt;=0.9,"预警","正常"))</f>
        <v/>
      </c>
      <c r="J85" s="4">
        <f>RANK(F85,$F$4:$F$1203,0)</f>
        <v/>
      </c>
      <c r="K85" s="4" t="inlineStr">
        <is>
          <t>在建</t>
        </is>
      </c>
    </row>
    <row r="86">
      <c r="A86" s="4" t="n">
        <v>83</v>
      </c>
      <c r="B86" s="5" t="inlineStr">
        <is>
          <t>PJ-2026-0083</t>
        </is>
      </c>
      <c r="C86" s="6" t="inlineStr">
        <is>
          <t>和平街智慧园区建设项目（三期）</t>
        </is>
      </c>
      <c r="D86" s="4" t="inlineStr">
        <is>
          <t>李桂</t>
        </is>
      </c>
      <c r="E86" s="7" t="n">
        <v>1384</v>
      </c>
      <c r="F86" s="7" t="n">
        <v>1563.92</v>
      </c>
      <c r="G86" s="7">
        <f>E86-F86</f>
        <v/>
      </c>
      <c r="H86" s="8">
        <f>IFERROR(F86/E86,0)</f>
        <v/>
      </c>
      <c r="I86" s="4">
        <f>IF(H86&gt;=1,"超预算",IF(H86&gt;=0.9,"预警","正常"))</f>
        <v/>
      </c>
      <c r="J86" s="4">
        <f>RANK(F86,$F$4:$F$1203,0)</f>
        <v/>
      </c>
      <c r="K86" s="4" t="inlineStr">
        <is>
          <t>待启动</t>
        </is>
      </c>
    </row>
    <row r="87">
      <c r="A87" s="4" t="n">
        <v>84</v>
      </c>
      <c r="B87" s="5" t="inlineStr">
        <is>
          <t>PJ-2026-0084</t>
        </is>
      </c>
      <c r="C87" s="6" t="inlineStr">
        <is>
          <t>光明街污水处理扩容工程（四期）</t>
        </is>
      </c>
      <c r="D87" s="4" t="inlineStr">
        <is>
          <t>赵丽</t>
        </is>
      </c>
      <c r="E87" s="7" t="n">
        <v>1521</v>
      </c>
      <c r="F87" s="7" t="n">
        <v>1095.12</v>
      </c>
      <c r="G87" s="7">
        <f>E87-F87</f>
        <v/>
      </c>
      <c r="H87" s="8">
        <f>IFERROR(F87/E87,0)</f>
        <v/>
      </c>
      <c r="I87" s="4">
        <f>IF(H87&gt;=1,"超预算",IF(H87&gt;=0.9,"预警","正常"))</f>
        <v/>
      </c>
      <c r="J87" s="4">
        <f>RANK(F87,$F$4:$F$1203,0)</f>
        <v/>
      </c>
      <c r="K87" s="4" t="inlineStr">
        <is>
          <t>完工</t>
        </is>
      </c>
    </row>
    <row r="88">
      <c r="A88" s="4" t="n">
        <v>85</v>
      </c>
      <c r="B88" s="5" t="inlineStr">
        <is>
          <t>PJ-2026-0085</t>
        </is>
      </c>
      <c r="C88" s="6" t="inlineStr">
        <is>
          <t>城东路供水管网更新工程</t>
        </is>
      </c>
      <c r="D88" s="4" t="inlineStr">
        <is>
          <t>刘杰</t>
        </is>
      </c>
      <c r="E88" s="7" t="n">
        <v>1658</v>
      </c>
      <c r="F88" s="7" t="n">
        <v>1674.58</v>
      </c>
      <c r="G88" s="7">
        <f>E88-F88</f>
        <v/>
      </c>
      <c r="H88" s="8">
        <f>IFERROR(F88/E88,0)</f>
        <v/>
      </c>
      <c r="I88" s="4">
        <f>IF(H88&gt;=1,"超预算",IF(H88&gt;=0.9,"预警","正常"))</f>
        <v/>
      </c>
      <c r="J88" s="4">
        <f>RANK(F88,$F$4:$F$1203,0)</f>
        <v/>
      </c>
      <c r="K88" s="4" t="inlineStr">
        <is>
          <t>在建</t>
        </is>
      </c>
    </row>
    <row r="89">
      <c r="A89" s="4" t="n">
        <v>86</v>
      </c>
      <c r="B89" s="5" t="inlineStr">
        <is>
          <t>PJ-2026-0086</t>
        </is>
      </c>
      <c r="C89" s="6" t="inlineStr">
        <is>
          <t>解放路河道综合整治工程（二期）</t>
        </is>
      </c>
      <c r="D89" s="4" t="inlineStr">
        <is>
          <t>陈霞</t>
        </is>
      </c>
      <c r="E89" s="7" t="n">
        <v>1795</v>
      </c>
      <c r="F89" s="7" t="n">
        <v>1077</v>
      </c>
      <c r="G89" s="7">
        <f>E89-F89</f>
        <v/>
      </c>
      <c r="H89" s="8">
        <f>IFERROR(F89/E89,0)</f>
        <v/>
      </c>
      <c r="I89" s="4">
        <f>IF(H89&gt;=1,"超预算",IF(H89&gt;=0.9,"预警","正常"))</f>
        <v/>
      </c>
      <c r="J89" s="4">
        <f>RANK(F89,$F$4:$F$1203,0)</f>
        <v/>
      </c>
      <c r="K89" s="4" t="inlineStr">
        <is>
          <t>待启动</t>
        </is>
      </c>
    </row>
    <row r="90">
      <c r="A90" s="4" t="n">
        <v>87</v>
      </c>
      <c r="B90" s="5" t="inlineStr">
        <is>
          <t>PJ-2026-0087</t>
        </is>
      </c>
      <c r="C90" s="6" t="inlineStr">
        <is>
          <t>和平街学校新建工程（三期）</t>
        </is>
      </c>
      <c r="D90" s="4" t="inlineStr">
        <is>
          <t>杨娜</t>
        </is>
      </c>
      <c r="E90" s="7" t="n">
        <v>1932</v>
      </c>
      <c r="F90" s="7" t="n">
        <v>1719.48</v>
      </c>
      <c r="G90" s="7">
        <f>E90-F90</f>
        <v/>
      </c>
      <c r="H90" s="8">
        <f>IFERROR(F90/E90,0)</f>
        <v/>
      </c>
      <c r="I90" s="4">
        <f>IF(H90&gt;=1,"超预算",IF(H90&gt;=0.9,"预警","正常"))</f>
        <v/>
      </c>
      <c r="J90" s="4">
        <f>RANK(F90,$F$4:$F$1203,0)</f>
        <v/>
      </c>
      <c r="K90" s="4" t="inlineStr">
        <is>
          <t>完工</t>
        </is>
      </c>
    </row>
    <row r="91">
      <c r="A91" s="4" t="n">
        <v>88</v>
      </c>
      <c r="B91" s="5" t="inlineStr">
        <is>
          <t>PJ-2026-0088</t>
        </is>
      </c>
      <c r="C91" s="6" t="inlineStr">
        <is>
          <t>光明街医院改扩建项目（四期）</t>
        </is>
      </c>
      <c r="D91" s="4" t="inlineStr">
        <is>
          <t>黄洋</t>
        </is>
      </c>
      <c r="E91" s="7" t="n">
        <v>2069</v>
      </c>
      <c r="F91" s="7" t="n">
        <v>993.12</v>
      </c>
      <c r="G91" s="7">
        <f>E91-F91</f>
        <v/>
      </c>
      <c r="H91" s="8">
        <f>IFERROR(F91/E91,0)</f>
        <v/>
      </c>
      <c r="I91" s="4">
        <f>IF(H91&gt;=1,"超预算",IF(H91&gt;=0.9,"预警","正常"))</f>
        <v/>
      </c>
      <c r="J91" s="4">
        <f>RANK(F91,$F$4:$F$1203,0)</f>
        <v/>
      </c>
      <c r="K91" s="4" t="inlineStr">
        <is>
          <t>在建</t>
        </is>
      </c>
    </row>
    <row r="92">
      <c r="A92" s="4" t="n">
        <v>89</v>
      </c>
      <c r="B92" s="5" t="inlineStr">
        <is>
          <t>PJ-2026-0089</t>
        </is>
      </c>
      <c r="C92" s="6" t="inlineStr">
        <is>
          <t>城东路公交枢纽建设工程</t>
        </is>
      </c>
      <c r="D92" s="4" t="inlineStr">
        <is>
          <t>周超</t>
        </is>
      </c>
      <c r="E92" s="7" t="n">
        <v>2206</v>
      </c>
      <c r="F92" s="7" t="n">
        <v>1698.62</v>
      </c>
      <c r="G92" s="7">
        <f>E92-F92</f>
        <v/>
      </c>
      <c r="H92" s="8">
        <f>IFERROR(F92/E92,0)</f>
        <v/>
      </c>
      <c r="I92" s="4">
        <f>IF(H92&gt;=1,"超预算",IF(H92&gt;=0.9,"预警","正常"))</f>
        <v/>
      </c>
      <c r="J92" s="4">
        <f>RANK(F92,$F$4:$F$1203,0)</f>
        <v/>
      </c>
      <c r="K92" s="4" t="inlineStr">
        <is>
          <t>待启动</t>
        </is>
      </c>
    </row>
    <row r="93">
      <c r="A93" s="4" t="n">
        <v>90</v>
      </c>
      <c r="B93" s="5" t="inlineStr">
        <is>
          <t>PJ-2026-0090</t>
        </is>
      </c>
      <c r="C93" s="6" t="inlineStr">
        <is>
          <t>解放路公共停车场建设工程（二期）</t>
        </is>
      </c>
      <c r="D93" s="4" t="inlineStr">
        <is>
          <t>吴英</t>
        </is>
      </c>
      <c r="E93" s="7" t="n">
        <v>2343</v>
      </c>
      <c r="F93" s="7" t="n">
        <v>2483.58</v>
      </c>
      <c r="G93" s="7">
        <f>E93-F93</f>
        <v/>
      </c>
      <c r="H93" s="8">
        <f>IFERROR(F93/E93,0)</f>
        <v/>
      </c>
      <c r="I93" s="4">
        <f>IF(H93&gt;=1,"超预算",IF(H93&gt;=0.9,"预警","正常"))</f>
        <v/>
      </c>
      <c r="J93" s="4">
        <f>RANK(F93,$F$4:$F$1203,0)</f>
        <v/>
      </c>
      <c r="K93" s="4" t="inlineStr">
        <is>
          <t>完工</t>
        </is>
      </c>
    </row>
    <row r="94">
      <c r="A94" s="4" t="n">
        <v>91</v>
      </c>
      <c r="B94" s="5" t="inlineStr">
        <is>
          <t>PJ-2026-0091</t>
        </is>
      </c>
      <c r="C94" s="6" t="inlineStr">
        <is>
          <t>和平街道路改造工程（三期）</t>
        </is>
      </c>
      <c r="D94" s="4" t="inlineStr">
        <is>
          <t>徐强</t>
        </is>
      </c>
      <c r="E94" s="7" t="n">
        <v>2480</v>
      </c>
      <c r="F94" s="7" t="n">
        <v>1612</v>
      </c>
      <c r="G94" s="7">
        <f>E94-F94</f>
        <v/>
      </c>
      <c r="H94" s="8">
        <f>IFERROR(F94/E94,0)</f>
        <v/>
      </c>
      <c r="I94" s="4">
        <f>IF(H94&gt;=1,"超预算",IF(H94&gt;=0.9,"预警","正常"))</f>
        <v/>
      </c>
      <c r="J94" s="4">
        <f>RANK(F94,$F$4:$F$1203,0)</f>
        <v/>
      </c>
      <c r="K94" s="4" t="inlineStr">
        <is>
          <t>在建</t>
        </is>
      </c>
    </row>
    <row r="95">
      <c r="A95" s="4" t="n">
        <v>92</v>
      </c>
      <c r="B95" s="5" t="inlineStr">
        <is>
          <t>PJ-2026-0092</t>
        </is>
      </c>
      <c r="C95" s="6" t="inlineStr">
        <is>
          <t>光明街老旧小区改造项目（四期）</t>
        </is>
      </c>
      <c r="D95" s="4" t="inlineStr">
        <is>
          <t>孙娟</t>
        </is>
      </c>
      <c r="E95" s="7" t="n">
        <v>2617</v>
      </c>
      <c r="F95" s="7" t="n">
        <v>2459.98</v>
      </c>
      <c r="G95" s="7">
        <f>E95-F95</f>
        <v/>
      </c>
      <c r="H95" s="8">
        <f>IFERROR(F95/E95,0)</f>
        <v/>
      </c>
      <c r="I95" s="4">
        <f>IF(H95&gt;=1,"超预算",IF(H95&gt;=0.9,"预警","正常"))</f>
        <v/>
      </c>
      <c r="J95" s="4">
        <f>RANK(F95,$F$4:$F$1203,0)</f>
        <v/>
      </c>
      <c r="K95" s="4" t="inlineStr">
        <is>
          <t>待启动</t>
        </is>
      </c>
    </row>
    <row r="96">
      <c r="A96" s="4" t="n">
        <v>93</v>
      </c>
      <c r="B96" s="5" t="inlineStr">
        <is>
          <t>PJ-2026-0093</t>
        </is>
      </c>
      <c r="C96" s="6" t="inlineStr">
        <is>
          <t>城东路智慧园区建设项目</t>
        </is>
      </c>
      <c r="D96" s="4" t="inlineStr">
        <is>
          <t>马平</t>
        </is>
      </c>
      <c r="E96" s="7" t="n">
        <v>2754</v>
      </c>
      <c r="F96" s="7" t="n">
        <v>1459.62</v>
      </c>
      <c r="G96" s="7">
        <f>E96-F96</f>
        <v/>
      </c>
      <c r="H96" s="8">
        <f>IFERROR(F96/E96,0)</f>
        <v/>
      </c>
      <c r="I96" s="4">
        <f>IF(H96&gt;=1,"超预算",IF(H96&gt;=0.9,"预警","正常"))</f>
        <v/>
      </c>
      <c r="J96" s="4">
        <f>RANK(F96,$F$4:$F$1203,0)</f>
        <v/>
      </c>
      <c r="K96" s="4" t="inlineStr">
        <is>
          <t>完工</t>
        </is>
      </c>
    </row>
    <row r="97">
      <c r="A97" s="4" t="n">
        <v>94</v>
      </c>
      <c r="B97" s="5" t="inlineStr">
        <is>
          <t>PJ-2026-0094</t>
        </is>
      </c>
      <c r="C97" s="6" t="inlineStr">
        <is>
          <t>解放路污水处理扩容工程（二期）</t>
        </is>
      </c>
      <c r="D97" s="4" t="inlineStr">
        <is>
          <t>朱敏</t>
        </is>
      </c>
      <c r="E97" s="7" t="n">
        <v>2891</v>
      </c>
      <c r="F97" s="7" t="n">
        <v>2370.62</v>
      </c>
      <c r="G97" s="7">
        <f>E97-F97</f>
        <v/>
      </c>
      <c r="H97" s="8">
        <f>IFERROR(F97/E97,0)</f>
        <v/>
      </c>
      <c r="I97" s="4">
        <f>IF(H97&gt;=1,"超预算",IF(H97&gt;=0.9,"预警","正常"))</f>
        <v/>
      </c>
      <c r="J97" s="4">
        <f>RANK(F97,$F$4:$F$1203,0)</f>
        <v/>
      </c>
      <c r="K97" s="4" t="inlineStr">
        <is>
          <t>在建</t>
        </is>
      </c>
    </row>
    <row r="98">
      <c r="A98" s="4" t="n">
        <v>95</v>
      </c>
      <c r="B98" s="5" t="inlineStr">
        <is>
          <t>PJ-2026-0095</t>
        </is>
      </c>
      <c r="C98" s="6" t="inlineStr">
        <is>
          <t>和平街供水管网更新工程（三期）</t>
        </is>
      </c>
      <c r="D98" s="4" t="inlineStr">
        <is>
          <t>胡勇</t>
        </is>
      </c>
      <c r="E98" s="7" t="n">
        <v>3028</v>
      </c>
      <c r="F98" s="7" t="n">
        <v>3361.08</v>
      </c>
      <c r="G98" s="7">
        <f>E98-F98</f>
        <v/>
      </c>
      <c r="H98" s="8">
        <f>IFERROR(F98/E98,0)</f>
        <v/>
      </c>
      <c r="I98" s="4">
        <f>IF(H98&gt;=1,"超预算",IF(H98&gt;=0.9,"预警","正常"))</f>
        <v/>
      </c>
      <c r="J98" s="4">
        <f>RANK(F98,$F$4:$F$1203,0)</f>
        <v/>
      </c>
      <c r="K98" s="4" t="inlineStr">
        <is>
          <t>待启动</t>
        </is>
      </c>
    </row>
    <row r="99">
      <c r="A99" s="4" t="n">
        <v>96</v>
      </c>
      <c r="B99" s="5" t="inlineStr">
        <is>
          <t>PJ-2026-0096</t>
        </is>
      </c>
      <c r="C99" s="6" t="inlineStr">
        <is>
          <t>光明街河道综合整治工程（四期）</t>
        </is>
      </c>
      <c r="D99" s="4" t="inlineStr">
        <is>
          <t>郭秀</t>
        </is>
      </c>
      <c r="E99" s="7" t="n">
        <v>3165</v>
      </c>
      <c r="F99" s="7" t="n">
        <v>2215.5</v>
      </c>
      <c r="G99" s="7">
        <f>E99-F99</f>
        <v/>
      </c>
      <c r="H99" s="8">
        <f>IFERROR(F99/E99,0)</f>
        <v/>
      </c>
      <c r="I99" s="4">
        <f>IF(H99&gt;=1,"超预算",IF(H99&gt;=0.9,"预警","正常"))</f>
        <v/>
      </c>
      <c r="J99" s="4">
        <f>RANK(F99,$F$4:$F$1203,0)</f>
        <v/>
      </c>
      <c r="K99" s="4" t="inlineStr">
        <is>
          <t>完工</t>
        </is>
      </c>
    </row>
    <row r="100">
      <c r="A100" s="4" t="n">
        <v>97</v>
      </c>
      <c r="B100" s="5" t="inlineStr">
        <is>
          <t>PJ-2026-0097</t>
        </is>
      </c>
      <c r="C100" s="6" t="inlineStr">
        <is>
          <t>城东路学校新建工程</t>
        </is>
      </c>
      <c r="D100" s="4" t="inlineStr">
        <is>
          <t>何伟</t>
        </is>
      </c>
      <c r="E100" s="7" t="n">
        <v>3302</v>
      </c>
      <c r="F100" s="7" t="n">
        <v>3268.98</v>
      </c>
      <c r="G100" s="7">
        <f>E100-F100</f>
        <v/>
      </c>
      <c r="H100" s="8">
        <f>IFERROR(F100/E100,0)</f>
        <v/>
      </c>
      <c r="I100" s="4">
        <f>IF(H100&gt;=1,"超预算",IF(H100&gt;=0.9,"预警","正常"))</f>
        <v/>
      </c>
      <c r="J100" s="4">
        <f>RANK(F100,$F$4:$F$1203,0)</f>
        <v/>
      </c>
      <c r="K100" s="4" t="inlineStr">
        <is>
          <t>在建</t>
        </is>
      </c>
    </row>
    <row r="101">
      <c r="A101" s="4" t="n">
        <v>98</v>
      </c>
      <c r="B101" s="5" t="inlineStr">
        <is>
          <t>PJ-2026-0098</t>
        </is>
      </c>
      <c r="C101" s="6" t="inlineStr">
        <is>
          <t>解放路医院改扩建项目（二期）</t>
        </is>
      </c>
      <c r="D101" s="4" t="inlineStr">
        <is>
          <t>高磊</t>
        </is>
      </c>
      <c r="E101" s="7" t="n">
        <v>3439</v>
      </c>
      <c r="F101" s="7" t="n">
        <v>1994.62</v>
      </c>
      <c r="G101" s="7">
        <f>E101-F101</f>
        <v/>
      </c>
      <c r="H101" s="8">
        <f>IFERROR(F101/E101,0)</f>
        <v/>
      </c>
      <c r="I101" s="4">
        <f>IF(H101&gt;=1,"超预算",IF(H101&gt;=0.9,"预警","正常"))</f>
        <v/>
      </c>
      <c r="J101" s="4">
        <f>RANK(F101,$F$4:$F$1203,0)</f>
        <v/>
      </c>
      <c r="K101" s="4" t="inlineStr">
        <is>
          <t>待启动</t>
        </is>
      </c>
    </row>
    <row r="102">
      <c r="A102" s="4" t="n">
        <v>99</v>
      </c>
      <c r="B102" s="5" t="inlineStr">
        <is>
          <t>PJ-2026-0099</t>
        </is>
      </c>
      <c r="C102" s="6" t="inlineStr">
        <is>
          <t>和平街公交枢纽建设工程（三期）</t>
        </is>
      </c>
      <c r="D102" s="4" t="inlineStr">
        <is>
          <t>林涛</t>
        </is>
      </c>
      <c r="E102" s="7" t="n">
        <v>3576</v>
      </c>
      <c r="F102" s="7" t="n">
        <v>3111.12</v>
      </c>
      <c r="G102" s="7">
        <f>E102-F102</f>
        <v/>
      </c>
      <c r="H102" s="8">
        <f>IFERROR(F102/E102,0)</f>
        <v/>
      </c>
      <c r="I102" s="4">
        <f>IF(H102&gt;=1,"超预算",IF(H102&gt;=0.9,"预警","正常"))</f>
        <v/>
      </c>
      <c r="J102" s="4">
        <f>RANK(F102,$F$4:$F$1203,0)</f>
        <v/>
      </c>
      <c r="K102" s="4" t="inlineStr">
        <is>
          <t>完工</t>
        </is>
      </c>
    </row>
    <row r="103">
      <c r="A103" s="4" t="n">
        <v>100</v>
      </c>
      <c r="B103" s="5" t="inlineStr">
        <is>
          <t>PJ-2026-0100</t>
        </is>
      </c>
      <c r="C103" s="6" t="inlineStr">
        <is>
          <t>光明街公共停车场建设工程（四期）</t>
        </is>
      </c>
      <c r="D103" s="4" t="inlineStr">
        <is>
          <t>罗刚</t>
        </is>
      </c>
      <c r="E103" s="7" t="n">
        <v>3713</v>
      </c>
      <c r="F103" s="7" t="n">
        <v>1707.98</v>
      </c>
      <c r="G103" s="7">
        <f>E103-F103</f>
        <v/>
      </c>
      <c r="H103" s="8">
        <f>IFERROR(F103/E103,0)</f>
        <v/>
      </c>
      <c r="I103" s="4">
        <f>IF(H103&gt;=1,"超预算",IF(H103&gt;=0.9,"预警","正常"))</f>
        <v/>
      </c>
      <c r="J103" s="4">
        <f>RANK(F103,$F$4:$F$1203,0)</f>
        <v/>
      </c>
      <c r="K103" s="4" t="inlineStr">
        <is>
          <t>在建</t>
        </is>
      </c>
    </row>
    <row r="104">
      <c r="A104" s="4" t="n">
        <v>101</v>
      </c>
      <c r="B104" s="5" t="inlineStr">
        <is>
          <t>PJ-2026-0101</t>
        </is>
      </c>
      <c r="C104" s="6" t="inlineStr">
        <is>
          <t>城东路道路改造工程</t>
        </is>
      </c>
      <c r="D104" s="4" t="inlineStr">
        <is>
          <t>张静</t>
        </is>
      </c>
      <c r="E104" s="7" t="n">
        <v>3850</v>
      </c>
      <c r="F104" s="7" t="n">
        <v>2887.5</v>
      </c>
      <c r="G104" s="7">
        <f>E104-F104</f>
        <v/>
      </c>
      <c r="H104" s="8">
        <f>IFERROR(F104/E104,0)</f>
        <v/>
      </c>
      <c r="I104" s="4">
        <f>IF(H104&gt;=1,"超预算",IF(H104&gt;=0.9,"预警","正常"))</f>
        <v/>
      </c>
      <c r="J104" s="4">
        <f>RANK(F104,$F$4:$F$1203,0)</f>
        <v/>
      </c>
      <c r="K104" s="4" t="inlineStr">
        <is>
          <t>待启动</t>
        </is>
      </c>
    </row>
    <row r="105">
      <c r="A105" s="4" t="n">
        <v>102</v>
      </c>
      <c r="B105" s="5" t="inlineStr">
        <is>
          <t>PJ-2026-0102</t>
        </is>
      </c>
      <c r="C105" s="6" t="inlineStr">
        <is>
          <t>解放路老旧小区改造项目（二期）</t>
        </is>
      </c>
      <c r="D105" s="4" t="inlineStr">
        <is>
          <t>王艳</t>
        </is>
      </c>
      <c r="E105" s="7" t="n">
        <v>3987</v>
      </c>
      <c r="F105" s="7" t="n">
        <v>4146.48</v>
      </c>
      <c r="G105" s="7">
        <f>E105-F105</f>
        <v/>
      </c>
      <c r="H105" s="8">
        <f>IFERROR(F105/E105,0)</f>
        <v/>
      </c>
      <c r="I105" s="4">
        <f>IF(H105&gt;=1,"超预算",IF(H105&gt;=0.9,"预警","正常"))</f>
        <v/>
      </c>
      <c r="J105" s="4">
        <f>RANK(F105,$F$4:$F$1203,0)</f>
        <v/>
      </c>
      <c r="K105" s="4" t="inlineStr">
        <is>
          <t>完工</t>
        </is>
      </c>
    </row>
    <row r="106">
      <c r="A106" s="4" t="n">
        <v>103</v>
      </c>
      <c r="B106" s="5" t="inlineStr">
        <is>
          <t>PJ-2026-0103</t>
        </is>
      </c>
      <c r="C106" s="6" t="inlineStr">
        <is>
          <t>和平街智慧园区建设项目（三期）</t>
        </is>
      </c>
      <c r="D106" s="4" t="inlineStr">
        <is>
          <t>李英</t>
        </is>
      </c>
      <c r="E106" s="7" t="n">
        <v>4124</v>
      </c>
      <c r="F106" s="7" t="n">
        <v>2598.12</v>
      </c>
      <c r="G106" s="7">
        <f>E106-F106</f>
        <v/>
      </c>
      <c r="H106" s="8">
        <f>IFERROR(F106/E106,0)</f>
        <v/>
      </c>
      <c r="I106" s="4">
        <f>IF(H106&gt;=1,"超预算",IF(H106&gt;=0.9,"预警","正常"))</f>
        <v/>
      </c>
      <c r="J106" s="4">
        <f>RANK(F106,$F$4:$F$1203,0)</f>
        <v/>
      </c>
      <c r="K106" s="4" t="inlineStr">
        <is>
          <t>在建</t>
        </is>
      </c>
    </row>
    <row r="107">
      <c r="A107" s="4" t="n">
        <v>104</v>
      </c>
      <c r="B107" s="5" t="inlineStr">
        <is>
          <t>PJ-2026-0104</t>
        </is>
      </c>
      <c r="C107" s="6" t="inlineStr">
        <is>
          <t>光明街污水处理扩容工程（四期）</t>
        </is>
      </c>
      <c r="D107" s="4" t="inlineStr">
        <is>
          <t>赵芳</t>
        </is>
      </c>
      <c r="E107" s="7" t="n">
        <v>4261</v>
      </c>
      <c r="F107" s="7" t="n">
        <v>3920.12</v>
      </c>
      <c r="G107" s="7">
        <f>E107-F107</f>
        <v/>
      </c>
      <c r="H107" s="8">
        <f>IFERROR(F107/E107,0)</f>
        <v/>
      </c>
      <c r="I107" s="4">
        <f>IF(H107&gt;=1,"超预算",IF(H107&gt;=0.9,"预警","正常"))</f>
        <v/>
      </c>
      <c r="J107" s="4">
        <f>RANK(F107,$F$4:$F$1203,0)</f>
        <v/>
      </c>
      <c r="K107" s="4" t="inlineStr">
        <is>
          <t>待启动</t>
        </is>
      </c>
    </row>
    <row r="108">
      <c r="A108" s="4" t="n">
        <v>105</v>
      </c>
      <c r="B108" s="5" t="inlineStr">
        <is>
          <t>PJ-2026-0105</t>
        </is>
      </c>
      <c r="C108" s="6" t="inlineStr">
        <is>
          <t>城东路供水管网更新工程</t>
        </is>
      </c>
      <c r="D108" s="4" t="inlineStr">
        <is>
          <t>刘军</t>
        </is>
      </c>
      <c r="E108" s="7" t="n">
        <v>4398</v>
      </c>
      <c r="F108" s="7" t="n">
        <v>2242.98</v>
      </c>
      <c r="G108" s="7">
        <f>E108-F108</f>
        <v/>
      </c>
      <c r="H108" s="8">
        <f>IFERROR(F108/E108,0)</f>
        <v/>
      </c>
      <c r="I108" s="4">
        <f>IF(H108&gt;=1,"超预算",IF(H108&gt;=0.9,"预警","正常"))</f>
        <v/>
      </c>
      <c r="J108" s="4">
        <f>RANK(F108,$F$4:$F$1203,0)</f>
        <v/>
      </c>
      <c r="K108" s="4" t="inlineStr">
        <is>
          <t>完工</t>
        </is>
      </c>
    </row>
    <row r="109">
      <c r="A109" s="4" t="n">
        <v>106</v>
      </c>
      <c r="B109" s="5" t="inlineStr">
        <is>
          <t>PJ-2026-0106</t>
        </is>
      </c>
      <c r="C109" s="6" t="inlineStr">
        <is>
          <t>解放路河道综合整治工程（二期）</t>
        </is>
      </c>
      <c r="D109" s="4" t="inlineStr">
        <is>
          <t>陈明</t>
        </is>
      </c>
      <c r="E109" s="7" t="n">
        <v>4535</v>
      </c>
      <c r="F109" s="7" t="n">
        <v>3628</v>
      </c>
      <c r="G109" s="7">
        <f>E109-F109</f>
        <v/>
      </c>
      <c r="H109" s="8">
        <f>IFERROR(F109/E109,0)</f>
        <v/>
      </c>
      <c r="I109" s="4">
        <f>IF(H109&gt;=1,"超预算",IF(H109&gt;=0.9,"预警","正常"))</f>
        <v/>
      </c>
      <c r="J109" s="4">
        <f>RANK(F109,$F$4:$F$1203,0)</f>
        <v/>
      </c>
      <c r="K109" s="4" t="inlineStr">
        <is>
          <t>在建</t>
        </is>
      </c>
    </row>
    <row r="110">
      <c r="A110" s="4" t="n">
        <v>107</v>
      </c>
      <c r="B110" s="5" t="inlineStr">
        <is>
          <t>PJ-2026-0107</t>
        </is>
      </c>
      <c r="C110" s="6" t="inlineStr">
        <is>
          <t>和平街学校新建工程（三期）</t>
        </is>
      </c>
      <c r="D110" s="4" t="inlineStr">
        <is>
          <t>杨桂</t>
        </is>
      </c>
      <c r="E110" s="7" t="n">
        <v>4672</v>
      </c>
      <c r="F110" s="7" t="n">
        <v>5092.48</v>
      </c>
      <c r="G110" s="7">
        <f>E110-F110</f>
        <v/>
      </c>
      <c r="H110" s="8">
        <f>IFERROR(F110/E110,0)</f>
        <v/>
      </c>
      <c r="I110" s="4">
        <f>IF(H110&gt;=1,"超预算",IF(H110&gt;=0.9,"预警","正常"))</f>
        <v/>
      </c>
      <c r="J110" s="4">
        <f>RANK(F110,$F$4:$F$1203,0)</f>
        <v/>
      </c>
      <c r="K110" s="4" t="inlineStr">
        <is>
          <t>待启动</t>
        </is>
      </c>
    </row>
    <row r="111">
      <c r="A111" s="4" t="n">
        <v>108</v>
      </c>
      <c r="B111" s="5" t="inlineStr">
        <is>
          <t>PJ-2026-0108</t>
        </is>
      </c>
      <c r="C111" s="6" t="inlineStr">
        <is>
          <t>光明街医院改扩建项目（四期）</t>
        </is>
      </c>
      <c r="D111" s="4" t="inlineStr">
        <is>
          <t>黄丽</t>
        </is>
      </c>
      <c r="E111" s="7" t="n">
        <v>4809</v>
      </c>
      <c r="F111" s="7" t="n">
        <v>3270.12</v>
      </c>
      <c r="G111" s="7">
        <f>E111-F111</f>
        <v/>
      </c>
      <c r="H111" s="8">
        <f>IFERROR(F111/E111,0)</f>
        <v/>
      </c>
      <c r="I111" s="4">
        <f>IF(H111&gt;=1,"超预算",IF(H111&gt;=0.9,"预警","正常"))</f>
        <v/>
      </c>
      <c r="J111" s="4">
        <f>RANK(F111,$F$4:$F$1203,0)</f>
        <v/>
      </c>
      <c r="K111" s="4" t="inlineStr">
        <is>
          <t>完工</t>
        </is>
      </c>
    </row>
    <row r="112">
      <c r="A112" s="4" t="n">
        <v>109</v>
      </c>
      <c r="B112" s="5" t="inlineStr">
        <is>
          <t>PJ-2026-0109</t>
        </is>
      </c>
      <c r="C112" s="6" t="inlineStr">
        <is>
          <t>城东路公交枢纽建设工程</t>
        </is>
      </c>
      <c r="D112" s="4" t="inlineStr">
        <is>
          <t>周杰</t>
        </is>
      </c>
      <c r="E112" s="7" t="n">
        <v>4946</v>
      </c>
      <c r="F112" s="7" t="n">
        <v>4797.62</v>
      </c>
      <c r="G112" s="7">
        <f>E112-F112</f>
        <v/>
      </c>
      <c r="H112" s="8">
        <f>IFERROR(F112/E112,0)</f>
        <v/>
      </c>
      <c r="I112" s="4">
        <f>IF(H112&gt;=1,"超预算",IF(H112&gt;=0.9,"预警","正常"))</f>
        <v/>
      </c>
      <c r="J112" s="4">
        <f>RANK(F112,$F$4:$F$1203,0)</f>
        <v/>
      </c>
      <c r="K112" s="4" t="inlineStr">
        <is>
          <t>在建</t>
        </is>
      </c>
    </row>
    <row r="113">
      <c r="A113" s="4" t="n">
        <v>110</v>
      </c>
      <c r="B113" s="5" t="inlineStr">
        <is>
          <t>PJ-2026-0110</t>
        </is>
      </c>
      <c r="C113" s="6" t="inlineStr">
        <is>
          <t>解放路公共停车场建设工程（二期）</t>
        </is>
      </c>
      <c r="D113" s="4" t="inlineStr">
        <is>
          <t>吴霞</t>
        </is>
      </c>
      <c r="E113" s="7" t="n">
        <v>133</v>
      </c>
      <c r="F113" s="7" t="n">
        <v>74.48</v>
      </c>
      <c r="G113" s="7">
        <f>E113-F113</f>
        <v/>
      </c>
      <c r="H113" s="8">
        <f>IFERROR(F113/E113,0)</f>
        <v/>
      </c>
      <c r="I113" s="4">
        <f>IF(H113&gt;=1,"超预算",IF(H113&gt;=0.9,"预警","正常"))</f>
        <v/>
      </c>
      <c r="J113" s="4">
        <f>RANK(F113,$F$4:$F$1203,0)</f>
        <v/>
      </c>
      <c r="K113" s="4" t="inlineStr">
        <is>
          <t>待启动</t>
        </is>
      </c>
    </row>
    <row r="114">
      <c r="A114" s="4" t="n">
        <v>111</v>
      </c>
      <c r="B114" s="5" t="inlineStr">
        <is>
          <t>PJ-2026-0111</t>
        </is>
      </c>
      <c r="C114" s="6" t="inlineStr">
        <is>
          <t>和平街道路改造工程（三期）</t>
        </is>
      </c>
      <c r="D114" s="4" t="inlineStr">
        <is>
          <t>徐娜</t>
        </is>
      </c>
      <c r="E114" s="7" t="n">
        <v>270</v>
      </c>
      <c r="F114" s="7" t="n">
        <v>229.5</v>
      </c>
      <c r="G114" s="7">
        <f>E114-F114</f>
        <v/>
      </c>
      <c r="H114" s="8">
        <f>IFERROR(F114/E114,0)</f>
        <v/>
      </c>
      <c r="I114" s="4">
        <f>IF(H114&gt;=1,"超预算",IF(H114&gt;=0.9,"预警","正常"))</f>
        <v/>
      </c>
      <c r="J114" s="4">
        <f>RANK(F114,$F$4:$F$1203,0)</f>
        <v/>
      </c>
      <c r="K114" s="4" t="inlineStr">
        <is>
          <t>完工</t>
        </is>
      </c>
    </row>
    <row r="115">
      <c r="A115" s="4" t="n">
        <v>112</v>
      </c>
      <c r="B115" s="5" t="inlineStr">
        <is>
          <t>PJ-2026-0112</t>
        </is>
      </c>
      <c r="C115" s="6" t="inlineStr">
        <is>
          <t>光明街老旧小区改造项目（四期）</t>
        </is>
      </c>
      <c r="D115" s="4" t="inlineStr">
        <is>
          <t>孙洋</t>
        </is>
      </c>
      <c r="E115" s="7" t="n">
        <v>407</v>
      </c>
      <c r="F115" s="7" t="n">
        <v>463.98</v>
      </c>
      <c r="G115" s="7">
        <f>E115-F115</f>
        <v/>
      </c>
      <c r="H115" s="8">
        <f>IFERROR(F115/E115,0)</f>
        <v/>
      </c>
      <c r="I115" s="4">
        <f>IF(H115&gt;=1,"超预算",IF(H115&gt;=0.9,"预警","正常"))</f>
        <v/>
      </c>
      <c r="J115" s="4">
        <f>RANK(F115,$F$4:$F$1203,0)</f>
        <v/>
      </c>
      <c r="K115" s="4" t="inlineStr">
        <is>
          <t>在建</t>
        </is>
      </c>
    </row>
    <row r="116">
      <c r="A116" s="4" t="n">
        <v>113</v>
      </c>
      <c r="B116" s="5" t="inlineStr">
        <is>
          <t>PJ-2026-0113</t>
        </is>
      </c>
      <c r="C116" s="6" t="inlineStr">
        <is>
          <t>城东路智慧园区建设项目</t>
        </is>
      </c>
      <c r="D116" s="4" t="inlineStr">
        <is>
          <t>马超</t>
        </is>
      </c>
      <c r="E116" s="7" t="n">
        <v>544</v>
      </c>
      <c r="F116" s="7" t="n">
        <v>397.12</v>
      </c>
      <c r="G116" s="7">
        <f>E116-F116</f>
        <v/>
      </c>
      <c r="H116" s="8">
        <f>IFERROR(F116/E116,0)</f>
        <v/>
      </c>
      <c r="I116" s="4">
        <f>IF(H116&gt;=1,"超预算",IF(H116&gt;=0.9,"预警","正常"))</f>
        <v/>
      </c>
      <c r="J116" s="4">
        <f>RANK(F116,$F$4:$F$1203,0)</f>
        <v/>
      </c>
      <c r="K116" s="4" t="inlineStr">
        <is>
          <t>待启动</t>
        </is>
      </c>
    </row>
    <row r="117">
      <c r="A117" s="4" t="n">
        <v>114</v>
      </c>
      <c r="B117" s="5" t="inlineStr">
        <is>
          <t>PJ-2026-0114</t>
        </is>
      </c>
      <c r="C117" s="6" t="inlineStr">
        <is>
          <t>解放路污水处理扩容工程（二期）</t>
        </is>
      </c>
      <c r="D117" s="4" t="inlineStr">
        <is>
          <t>朱英</t>
        </is>
      </c>
      <c r="E117" s="7" t="n">
        <v>681</v>
      </c>
      <c r="F117" s="7" t="n">
        <v>694.62</v>
      </c>
      <c r="G117" s="7">
        <f>E117-F117</f>
        <v/>
      </c>
      <c r="H117" s="8">
        <f>IFERROR(F117/E117,0)</f>
        <v/>
      </c>
      <c r="I117" s="4">
        <f>IF(H117&gt;=1,"超预算",IF(H117&gt;=0.9,"预警","正常"))</f>
        <v/>
      </c>
      <c r="J117" s="4">
        <f>RANK(F117,$F$4:$F$1203,0)</f>
        <v/>
      </c>
      <c r="K117" s="4" t="inlineStr">
        <is>
          <t>完工</t>
        </is>
      </c>
    </row>
    <row r="118">
      <c r="A118" s="4" t="n">
        <v>115</v>
      </c>
      <c r="B118" s="5" t="inlineStr">
        <is>
          <t>PJ-2026-0115</t>
        </is>
      </c>
      <c r="C118" s="6" t="inlineStr">
        <is>
          <t>和平街供水管网更新工程（三期）</t>
        </is>
      </c>
      <c r="D118" s="4" t="inlineStr">
        <is>
          <t>胡强</t>
        </is>
      </c>
      <c r="E118" s="7" t="n">
        <v>818</v>
      </c>
      <c r="F118" s="7" t="n">
        <v>498.98</v>
      </c>
      <c r="G118" s="7">
        <f>E118-F118</f>
        <v/>
      </c>
      <c r="H118" s="8">
        <f>IFERROR(F118/E118,0)</f>
        <v/>
      </c>
      <c r="I118" s="4">
        <f>IF(H118&gt;=1,"超预算",IF(H118&gt;=0.9,"预警","正常"))</f>
        <v/>
      </c>
      <c r="J118" s="4">
        <f>RANK(F118,$F$4:$F$1203,0)</f>
        <v/>
      </c>
      <c r="K118" s="4" t="inlineStr">
        <is>
          <t>在建</t>
        </is>
      </c>
    </row>
    <row r="119">
      <c r="A119" s="4" t="n">
        <v>116</v>
      </c>
      <c r="B119" s="5" t="inlineStr">
        <is>
          <t>PJ-2026-0116</t>
        </is>
      </c>
      <c r="C119" s="6" t="inlineStr">
        <is>
          <t>光明街河道综合整治工程（四期）</t>
        </is>
      </c>
      <c r="D119" s="4" t="inlineStr">
        <is>
          <t>郭娟</t>
        </is>
      </c>
      <c r="E119" s="7" t="n">
        <v>955</v>
      </c>
      <c r="F119" s="7" t="n">
        <v>859.5</v>
      </c>
      <c r="G119" s="7">
        <f>E119-F119</f>
        <v/>
      </c>
      <c r="H119" s="8">
        <f>IFERROR(F119/E119,0)</f>
        <v/>
      </c>
      <c r="I119" s="4">
        <f>IF(H119&gt;=1,"超预算",IF(H119&gt;=0.9,"预警","正常"))</f>
        <v/>
      </c>
      <c r="J119" s="4">
        <f>RANK(F119,$F$4:$F$1203,0)</f>
        <v/>
      </c>
      <c r="K119" s="4" t="inlineStr">
        <is>
          <t>待启动</t>
        </is>
      </c>
    </row>
    <row r="120">
      <c r="A120" s="4" t="n">
        <v>117</v>
      </c>
      <c r="B120" s="5" t="inlineStr">
        <is>
          <t>PJ-2026-0117</t>
        </is>
      </c>
      <c r="C120" s="6" t="inlineStr">
        <is>
          <t>城东路学校新建工程</t>
        </is>
      </c>
      <c r="D120" s="4" t="inlineStr">
        <is>
          <t>何平</t>
        </is>
      </c>
      <c r="E120" s="7" t="n">
        <v>1092</v>
      </c>
      <c r="F120" s="7" t="n">
        <v>535.08</v>
      </c>
      <c r="G120" s="7">
        <f>E120-F120</f>
        <v/>
      </c>
      <c r="H120" s="8">
        <f>IFERROR(F120/E120,0)</f>
        <v/>
      </c>
      <c r="I120" s="4">
        <f>IF(H120&gt;=1,"超预算",IF(H120&gt;=0.9,"预警","正常"))</f>
        <v/>
      </c>
      <c r="J120" s="4">
        <f>RANK(F120,$F$4:$F$1203,0)</f>
        <v/>
      </c>
      <c r="K120" s="4" t="inlineStr">
        <is>
          <t>完工</t>
        </is>
      </c>
    </row>
    <row r="121">
      <c r="A121" s="4" t="n">
        <v>118</v>
      </c>
      <c r="B121" s="5" t="inlineStr">
        <is>
          <t>PJ-2026-0118</t>
        </is>
      </c>
      <c r="C121" s="6" t="inlineStr">
        <is>
          <t>解放路医院改扩建项目（二期）</t>
        </is>
      </c>
      <c r="D121" s="4" t="inlineStr">
        <is>
          <t>高敏</t>
        </is>
      </c>
      <c r="E121" s="7" t="n">
        <v>1229</v>
      </c>
      <c r="F121" s="7" t="n">
        <v>958.62</v>
      </c>
      <c r="G121" s="7">
        <f>E121-F121</f>
        <v/>
      </c>
      <c r="H121" s="8">
        <f>IFERROR(F121/E121,0)</f>
        <v/>
      </c>
      <c r="I121" s="4">
        <f>IF(H121&gt;=1,"超预算",IF(H121&gt;=0.9,"预警","正常"))</f>
        <v/>
      </c>
      <c r="J121" s="4">
        <f>RANK(F121,$F$4:$F$1203,0)</f>
        <v/>
      </c>
      <c r="K121" s="4" t="inlineStr">
        <is>
          <t>在建</t>
        </is>
      </c>
    </row>
    <row r="122">
      <c r="A122" s="4" t="n">
        <v>119</v>
      </c>
      <c r="B122" s="5" t="inlineStr">
        <is>
          <t>PJ-2026-0119</t>
        </is>
      </c>
      <c r="C122" s="6" t="inlineStr">
        <is>
          <t>和平街公交枢纽建设工程（三期）</t>
        </is>
      </c>
      <c r="D122" s="4" t="inlineStr">
        <is>
          <t>林勇</t>
        </is>
      </c>
      <c r="E122" s="7" t="n">
        <v>1366</v>
      </c>
      <c r="F122" s="7" t="n">
        <v>1461.62</v>
      </c>
      <c r="G122" s="7">
        <f>E122-F122</f>
        <v/>
      </c>
      <c r="H122" s="8">
        <f>IFERROR(F122/E122,0)</f>
        <v/>
      </c>
      <c r="I122" s="4">
        <f>IF(H122&gt;=1,"超预算",IF(H122&gt;=0.9,"预警","正常"))</f>
        <v/>
      </c>
      <c r="J122" s="4">
        <f>RANK(F122,$F$4:$F$1203,0)</f>
        <v/>
      </c>
      <c r="K122" s="4" t="inlineStr">
        <is>
          <t>待启动</t>
        </is>
      </c>
    </row>
    <row r="123">
      <c r="A123" s="4" t="n">
        <v>120</v>
      </c>
      <c r="B123" s="5" t="inlineStr">
        <is>
          <t>PJ-2026-0120</t>
        </is>
      </c>
      <c r="C123" s="6" t="inlineStr">
        <is>
          <t>光明街公共停车场建设工程（四期）</t>
        </is>
      </c>
      <c r="D123" s="4" t="inlineStr">
        <is>
          <t>罗秀</t>
        </is>
      </c>
      <c r="E123" s="7" t="n">
        <v>1503</v>
      </c>
      <c r="F123" s="7" t="n">
        <v>991.98</v>
      </c>
      <c r="G123" s="7">
        <f>E123-F123</f>
        <v/>
      </c>
      <c r="H123" s="8">
        <f>IFERROR(F123/E123,0)</f>
        <v/>
      </c>
      <c r="I123" s="4">
        <f>IF(H123&gt;=1,"超预算",IF(H123&gt;=0.9,"预警","正常"))</f>
        <v/>
      </c>
      <c r="J123" s="4">
        <f>RANK(F123,$F$4:$F$1203,0)</f>
        <v/>
      </c>
      <c r="K123" s="4" t="inlineStr">
        <is>
          <t>完工</t>
        </is>
      </c>
    </row>
    <row r="124">
      <c r="A124" s="4" t="n">
        <v>121</v>
      </c>
      <c r="B124" s="5" t="inlineStr">
        <is>
          <t>PJ-2026-0121</t>
        </is>
      </c>
      <c r="C124" s="6" t="inlineStr">
        <is>
          <t>城东路道路改造工程</t>
        </is>
      </c>
      <c r="D124" s="4" t="inlineStr">
        <is>
          <t>张伟</t>
        </is>
      </c>
      <c r="E124" s="7" t="n">
        <v>1640</v>
      </c>
      <c r="F124" s="7" t="n">
        <v>1558</v>
      </c>
      <c r="G124" s="7">
        <f>E124-F124</f>
        <v/>
      </c>
      <c r="H124" s="8">
        <f>IFERROR(F124/E124,0)</f>
        <v/>
      </c>
      <c r="I124" s="4">
        <f>IF(H124&gt;=1,"超预算",IF(H124&gt;=0.9,"预警","正常"))</f>
        <v/>
      </c>
      <c r="J124" s="4">
        <f>RANK(F124,$F$4:$F$1203,0)</f>
        <v/>
      </c>
      <c r="K124" s="4" t="inlineStr">
        <is>
          <t>在建</t>
        </is>
      </c>
    </row>
    <row r="125">
      <c r="A125" s="4" t="n">
        <v>122</v>
      </c>
      <c r="B125" s="5" t="inlineStr">
        <is>
          <t>PJ-2026-0122</t>
        </is>
      </c>
      <c r="C125" s="6" t="inlineStr">
        <is>
          <t>解放路老旧小区改造项目（二期）</t>
        </is>
      </c>
      <c r="D125" s="4" t="inlineStr">
        <is>
          <t>王磊</t>
        </is>
      </c>
      <c r="E125" s="7" t="n">
        <v>1777</v>
      </c>
      <c r="F125" s="7" t="n">
        <v>959.58</v>
      </c>
      <c r="G125" s="7">
        <f>E125-F125</f>
        <v/>
      </c>
      <c r="H125" s="8">
        <f>IFERROR(F125/E125,0)</f>
        <v/>
      </c>
      <c r="I125" s="4">
        <f>IF(H125&gt;=1,"超预算",IF(H125&gt;=0.9,"预警","正常"))</f>
        <v/>
      </c>
      <c r="J125" s="4">
        <f>RANK(F125,$F$4:$F$1203,0)</f>
        <v/>
      </c>
      <c r="K125" s="4" t="inlineStr">
        <is>
          <t>待启动</t>
        </is>
      </c>
    </row>
    <row r="126">
      <c r="A126" s="4" t="n">
        <v>123</v>
      </c>
      <c r="B126" s="5" t="inlineStr">
        <is>
          <t>PJ-2026-0123</t>
        </is>
      </c>
      <c r="C126" s="6" t="inlineStr">
        <is>
          <t>和平街智慧园区建设项目（三期）</t>
        </is>
      </c>
      <c r="D126" s="4" t="inlineStr">
        <is>
          <t>李涛</t>
        </is>
      </c>
      <c r="E126" s="7" t="n">
        <v>1914</v>
      </c>
      <c r="F126" s="7" t="n">
        <v>1588.62</v>
      </c>
      <c r="G126" s="7">
        <f>E126-F126</f>
        <v/>
      </c>
      <c r="H126" s="8">
        <f>IFERROR(F126/E126,0)</f>
        <v/>
      </c>
      <c r="I126" s="4">
        <f>IF(H126&gt;=1,"超预算",IF(H126&gt;=0.9,"预警","正常"))</f>
        <v/>
      </c>
      <c r="J126" s="4">
        <f>RANK(F126,$F$4:$F$1203,0)</f>
        <v/>
      </c>
      <c r="K126" s="4" t="inlineStr">
        <is>
          <t>完工</t>
        </is>
      </c>
    </row>
    <row r="127">
      <c r="A127" s="4" t="n">
        <v>124</v>
      </c>
      <c r="B127" s="5" t="inlineStr">
        <is>
          <t>PJ-2026-0124</t>
        </is>
      </c>
      <c r="C127" s="6" t="inlineStr">
        <is>
          <t>光明街污水处理扩容工程（四期）</t>
        </is>
      </c>
      <c r="D127" s="4" t="inlineStr">
        <is>
          <t>赵刚</t>
        </is>
      </c>
      <c r="E127" s="7" t="n">
        <v>2051</v>
      </c>
      <c r="F127" s="7" t="n">
        <v>2297.12</v>
      </c>
      <c r="G127" s="7">
        <f>E127-F127</f>
        <v/>
      </c>
      <c r="H127" s="8">
        <f>IFERROR(F127/E127,0)</f>
        <v/>
      </c>
      <c r="I127" s="4">
        <f>IF(H127&gt;=1,"超预算",IF(H127&gt;=0.9,"预警","正常"))</f>
        <v/>
      </c>
      <c r="J127" s="4">
        <f>RANK(F127,$F$4:$F$1203,0)</f>
        <v/>
      </c>
      <c r="K127" s="4" t="inlineStr">
        <is>
          <t>在建</t>
        </is>
      </c>
    </row>
    <row r="128">
      <c r="A128" s="4" t="n">
        <v>125</v>
      </c>
      <c r="B128" s="5" t="inlineStr">
        <is>
          <t>PJ-2026-0125</t>
        </is>
      </c>
      <c r="C128" s="6" t="inlineStr">
        <is>
          <t>城东路供水管网更新工程</t>
        </is>
      </c>
      <c r="D128" s="4" t="inlineStr">
        <is>
          <t>刘静</t>
        </is>
      </c>
      <c r="E128" s="7" t="n">
        <v>2188</v>
      </c>
      <c r="F128" s="7" t="n">
        <v>1553.48</v>
      </c>
      <c r="G128" s="7">
        <f>E128-F128</f>
        <v/>
      </c>
      <c r="H128" s="8">
        <f>IFERROR(F128/E128,0)</f>
        <v/>
      </c>
      <c r="I128" s="4">
        <f>IF(H128&gt;=1,"超预算",IF(H128&gt;=0.9,"预警","正常"))</f>
        <v/>
      </c>
      <c r="J128" s="4">
        <f>RANK(F128,$F$4:$F$1203,0)</f>
        <v/>
      </c>
      <c r="K128" s="4" t="inlineStr">
        <is>
          <t>待启动</t>
        </is>
      </c>
    </row>
    <row r="129">
      <c r="A129" s="4" t="n">
        <v>126</v>
      </c>
      <c r="B129" s="5" t="inlineStr">
        <is>
          <t>PJ-2026-0126</t>
        </is>
      </c>
      <c r="C129" s="6" t="inlineStr">
        <is>
          <t>解放路河道综合整治工程（二期）</t>
        </is>
      </c>
      <c r="D129" s="4" t="inlineStr">
        <is>
          <t>陈艳</t>
        </is>
      </c>
      <c r="E129" s="7" t="n">
        <v>2325</v>
      </c>
      <c r="F129" s="7" t="n">
        <v>2325</v>
      </c>
      <c r="G129" s="7">
        <f>E129-F129</f>
        <v/>
      </c>
      <c r="H129" s="8">
        <f>IFERROR(F129/E129,0)</f>
        <v/>
      </c>
      <c r="I129" s="4">
        <f>IF(H129&gt;=1,"超预算",IF(H129&gt;=0.9,"预警","正常"))</f>
        <v/>
      </c>
      <c r="J129" s="4">
        <f>RANK(F129,$F$4:$F$1203,0)</f>
        <v/>
      </c>
      <c r="K129" s="4" t="inlineStr">
        <is>
          <t>完工</t>
        </is>
      </c>
    </row>
    <row r="130">
      <c r="A130" s="4" t="n">
        <v>127</v>
      </c>
      <c r="B130" s="5" t="inlineStr">
        <is>
          <t>PJ-2026-0127</t>
        </is>
      </c>
      <c r="C130" s="6" t="inlineStr">
        <is>
          <t>和平街学校新建工程（三期）</t>
        </is>
      </c>
      <c r="D130" s="4" t="inlineStr">
        <is>
          <t>杨英</t>
        </is>
      </c>
      <c r="E130" s="7" t="n">
        <v>2462</v>
      </c>
      <c r="F130" s="7" t="n">
        <v>1452.58</v>
      </c>
      <c r="G130" s="7">
        <f>E130-F130</f>
        <v/>
      </c>
      <c r="H130" s="8">
        <f>IFERROR(F130/E130,0)</f>
        <v/>
      </c>
      <c r="I130" s="4">
        <f>IF(H130&gt;=1,"超预算",IF(H130&gt;=0.9,"预警","正常"))</f>
        <v/>
      </c>
      <c r="J130" s="4">
        <f>RANK(F130,$F$4:$F$1203,0)</f>
        <v/>
      </c>
      <c r="K130" s="4" t="inlineStr">
        <is>
          <t>在建</t>
        </is>
      </c>
    </row>
    <row r="131">
      <c r="A131" s="4" t="n">
        <v>128</v>
      </c>
      <c r="B131" s="5" t="inlineStr">
        <is>
          <t>PJ-2026-0128</t>
        </is>
      </c>
      <c r="C131" s="6" t="inlineStr">
        <is>
          <t>光明街医院改扩建项目（四期）</t>
        </is>
      </c>
      <c r="D131" s="4" t="inlineStr">
        <is>
          <t>黄芳</t>
        </is>
      </c>
      <c r="E131" s="7" t="n">
        <v>2599</v>
      </c>
      <c r="F131" s="7" t="n">
        <v>2287.12</v>
      </c>
      <c r="G131" s="7">
        <f>E131-F131</f>
        <v/>
      </c>
      <c r="H131" s="8">
        <f>IFERROR(F131/E131,0)</f>
        <v/>
      </c>
      <c r="I131" s="4">
        <f>IF(H131&gt;=1,"超预算",IF(H131&gt;=0.9,"预警","正常"))</f>
        <v/>
      </c>
      <c r="J131" s="4">
        <f>RANK(F131,$F$4:$F$1203,0)</f>
        <v/>
      </c>
      <c r="K131" s="4" t="inlineStr">
        <is>
          <t>待启动</t>
        </is>
      </c>
    </row>
    <row r="132">
      <c r="A132" s="4" t="n">
        <v>129</v>
      </c>
      <c r="B132" s="5" t="inlineStr">
        <is>
          <t>PJ-2026-0129</t>
        </is>
      </c>
      <c r="C132" s="6" t="inlineStr">
        <is>
          <t>城东路公交枢纽建设工程</t>
        </is>
      </c>
      <c r="D132" s="4" t="inlineStr">
        <is>
          <t>周军</t>
        </is>
      </c>
      <c r="E132" s="7" t="n">
        <v>2736</v>
      </c>
      <c r="F132" s="7" t="n">
        <v>1285.92</v>
      </c>
      <c r="G132" s="7">
        <f>E132-F132</f>
        <v/>
      </c>
      <c r="H132" s="8">
        <f>IFERROR(F132/E132,0)</f>
        <v/>
      </c>
      <c r="I132" s="4">
        <f>IF(H132&gt;=1,"超预算",IF(H132&gt;=0.9,"预警","正常"))</f>
        <v/>
      </c>
      <c r="J132" s="4">
        <f>RANK(F132,$F$4:$F$1203,0)</f>
        <v/>
      </c>
      <c r="K132" s="4" t="inlineStr">
        <is>
          <t>完工</t>
        </is>
      </c>
    </row>
    <row r="133">
      <c r="A133" s="4" t="n">
        <v>130</v>
      </c>
      <c r="B133" s="5" t="inlineStr">
        <is>
          <t>PJ-2026-0130</t>
        </is>
      </c>
      <c r="C133" s="6" t="inlineStr">
        <is>
          <t>解放路公共停车场建设工程（二期）</t>
        </is>
      </c>
      <c r="D133" s="4" t="inlineStr">
        <is>
          <t>吴明</t>
        </is>
      </c>
      <c r="E133" s="7" t="n">
        <v>2873</v>
      </c>
      <c r="F133" s="7" t="n">
        <v>2183.48</v>
      </c>
      <c r="G133" s="7">
        <f>E133-F133</f>
        <v/>
      </c>
      <c r="H133" s="8">
        <f>IFERROR(F133/E133,0)</f>
        <v/>
      </c>
      <c r="I133" s="4">
        <f>IF(H133&gt;=1,"超预算",IF(H133&gt;=0.9,"预警","正常"))</f>
        <v/>
      </c>
      <c r="J133" s="4">
        <f>RANK(F133,$F$4:$F$1203,0)</f>
        <v/>
      </c>
      <c r="K133" s="4" t="inlineStr">
        <is>
          <t>在建</t>
        </is>
      </c>
    </row>
    <row r="134">
      <c r="A134" s="4" t="n">
        <v>131</v>
      </c>
      <c r="B134" s="5" t="inlineStr">
        <is>
          <t>PJ-2026-0131</t>
        </is>
      </c>
      <c r="C134" s="6" t="inlineStr">
        <is>
          <t>和平街道路改造工程（三期）</t>
        </is>
      </c>
      <c r="D134" s="4" t="inlineStr">
        <is>
          <t>徐桂</t>
        </is>
      </c>
      <c r="E134" s="7" t="n">
        <v>3010</v>
      </c>
      <c r="F134" s="7" t="n">
        <v>3160.5</v>
      </c>
      <c r="G134" s="7">
        <f>E134-F134</f>
        <v/>
      </c>
      <c r="H134" s="8">
        <f>IFERROR(F134/E134,0)</f>
        <v/>
      </c>
      <c r="I134" s="4">
        <f>IF(H134&gt;=1,"超预算",IF(H134&gt;=0.9,"预警","正常"))</f>
        <v/>
      </c>
      <c r="J134" s="4">
        <f>RANK(F134,$F$4:$F$1203,0)</f>
        <v/>
      </c>
      <c r="K134" s="4" t="inlineStr">
        <is>
          <t>待启动</t>
        </is>
      </c>
    </row>
    <row r="135">
      <c r="A135" s="4" t="n">
        <v>132</v>
      </c>
      <c r="B135" s="5" t="inlineStr">
        <is>
          <t>PJ-2026-0132</t>
        </is>
      </c>
      <c r="C135" s="6" t="inlineStr">
        <is>
          <t>光明街老旧小区改造项目（四期）</t>
        </is>
      </c>
      <c r="D135" s="4" t="inlineStr">
        <is>
          <t>孙丽</t>
        </is>
      </c>
      <c r="E135" s="7" t="n">
        <v>3147</v>
      </c>
      <c r="F135" s="7" t="n">
        <v>2014.08</v>
      </c>
      <c r="G135" s="7">
        <f>E135-F135</f>
        <v/>
      </c>
      <c r="H135" s="8">
        <f>IFERROR(F135/E135,0)</f>
        <v/>
      </c>
      <c r="I135" s="4">
        <f>IF(H135&gt;=1,"超预算",IF(H135&gt;=0.9,"预警","正常"))</f>
        <v/>
      </c>
      <c r="J135" s="4">
        <f>RANK(F135,$F$4:$F$1203,0)</f>
        <v/>
      </c>
      <c r="K135" s="4" t="inlineStr">
        <is>
          <t>完工</t>
        </is>
      </c>
    </row>
    <row r="136">
      <c r="A136" s="4" t="n">
        <v>133</v>
      </c>
      <c r="B136" s="5" t="inlineStr">
        <is>
          <t>PJ-2026-0133</t>
        </is>
      </c>
      <c r="C136" s="6" t="inlineStr">
        <is>
          <t>城东路智慧园区建设项目</t>
        </is>
      </c>
      <c r="D136" s="4" t="inlineStr">
        <is>
          <t>马杰</t>
        </is>
      </c>
      <c r="E136" s="7" t="n">
        <v>3284</v>
      </c>
      <c r="F136" s="7" t="n">
        <v>3054.12</v>
      </c>
      <c r="G136" s="7">
        <f>E136-F136</f>
        <v/>
      </c>
      <c r="H136" s="8">
        <f>IFERROR(F136/E136,0)</f>
        <v/>
      </c>
      <c r="I136" s="4">
        <f>IF(H136&gt;=1,"超预算",IF(H136&gt;=0.9,"预警","正常"))</f>
        <v/>
      </c>
      <c r="J136" s="4">
        <f>RANK(F136,$F$4:$F$1203,0)</f>
        <v/>
      </c>
      <c r="K136" s="4" t="inlineStr">
        <is>
          <t>在建</t>
        </is>
      </c>
    </row>
    <row r="137">
      <c r="A137" s="4" t="n">
        <v>134</v>
      </c>
      <c r="B137" s="5" t="inlineStr">
        <is>
          <t>PJ-2026-0134</t>
        </is>
      </c>
      <c r="C137" s="6" t="inlineStr">
        <is>
          <t>解放路污水处理扩容工程（二期）</t>
        </is>
      </c>
      <c r="D137" s="4" t="inlineStr">
        <is>
          <t>朱霞</t>
        </is>
      </c>
      <c r="E137" s="7" t="n">
        <v>3421</v>
      </c>
      <c r="F137" s="7" t="n">
        <v>1778.92</v>
      </c>
      <c r="G137" s="7">
        <f>E137-F137</f>
        <v/>
      </c>
      <c r="H137" s="8">
        <f>IFERROR(F137/E137,0)</f>
        <v/>
      </c>
      <c r="I137" s="4">
        <f>IF(H137&gt;=1,"超预算",IF(H137&gt;=0.9,"预警","正常"))</f>
        <v/>
      </c>
      <c r="J137" s="4">
        <f>RANK(F137,$F$4:$F$1203,0)</f>
        <v/>
      </c>
      <c r="K137" s="4" t="inlineStr">
        <is>
          <t>待启动</t>
        </is>
      </c>
    </row>
    <row r="138">
      <c r="A138" s="4" t="n">
        <v>135</v>
      </c>
      <c r="B138" s="5" t="inlineStr">
        <is>
          <t>PJ-2026-0135</t>
        </is>
      </c>
      <c r="C138" s="6" t="inlineStr">
        <is>
          <t>和平街供水管网更新工程（三期）</t>
        </is>
      </c>
      <c r="D138" s="4" t="inlineStr">
        <is>
          <t>胡娜</t>
        </is>
      </c>
      <c r="E138" s="7" t="n">
        <v>3558</v>
      </c>
      <c r="F138" s="7" t="n">
        <v>2881.98</v>
      </c>
      <c r="G138" s="7">
        <f>E138-F138</f>
        <v/>
      </c>
      <c r="H138" s="8">
        <f>IFERROR(F138/E138,0)</f>
        <v/>
      </c>
      <c r="I138" s="4">
        <f>IF(H138&gt;=1,"超预算",IF(H138&gt;=0.9,"预警","正常"))</f>
        <v/>
      </c>
      <c r="J138" s="4">
        <f>RANK(F138,$F$4:$F$1203,0)</f>
        <v/>
      </c>
      <c r="K138" s="4" t="inlineStr">
        <is>
          <t>完工</t>
        </is>
      </c>
    </row>
    <row r="139">
      <c r="A139" s="4" t="n">
        <v>136</v>
      </c>
      <c r="B139" s="5" t="inlineStr">
        <is>
          <t>PJ-2026-0136</t>
        </is>
      </c>
      <c r="C139" s="6" t="inlineStr">
        <is>
          <t>光明街河道综合整治工程（四期）</t>
        </is>
      </c>
      <c r="D139" s="4" t="inlineStr">
        <is>
          <t>郭洋</t>
        </is>
      </c>
      <c r="E139" s="7" t="n">
        <v>3695</v>
      </c>
      <c r="F139" s="7" t="n">
        <v>4064.5</v>
      </c>
      <c r="G139" s="7">
        <f>E139-F139</f>
        <v/>
      </c>
      <c r="H139" s="8">
        <f>IFERROR(F139/E139,0)</f>
        <v/>
      </c>
      <c r="I139" s="4">
        <f>IF(H139&gt;=1,"超预算",IF(H139&gt;=0.9,"预警","正常"))</f>
        <v/>
      </c>
      <c r="J139" s="4">
        <f>RANK(F139,$F$4:$F$1203,0)</f>
        <v/>
      </c>
      <c r="K139" s="4" t="inlineStr">
        <is>
          <t>在建</t>
        </is>
      </c>
    </row>
    <row r="140">
      <c r="A140" s="4" t="n">
        <v>137</v>
      </c>
      <c r="B140" s="5" t="inlineStr">
        <is>
          <t>PJ-2026-0137</t>
        </is>
      </c>
      <c r="C140" s="6" t="inlineStr">
        <is>
          <t>城东路学校新建工程</t>
        </is>
      </c>
      <c r="D140" s="4" t="inlineStr">
        <is>
          <t>何超</t>
        </is>
      </c>
      <c r="E140" s="7" t="n">
        <v>3832</v>
      </c>
      <c r="F140" s="7" t="n">
        <v>2644.08</v>
      </c>
      <c r="G140" s="7">
        <f>E140-F140</f>
        <v/>
      </c>
      <c r="H140" s="8">
        <f>IFERROR(F140/E140,0)</f>
        <v/>
      </c>
      <c r="I140" s="4">
        <f>IF(H140&gt;=1,"超预算",IF(H140&gt;=0.9,"预警","正常"))</f>
        <v/>
      </c>
      <c r="J140" s="4">
        <f>RANK(F140,$F$4:$F$1203,0)</f>
        <v/>
      </c>
      <c r="K140" s="4" t="inlineStr">
        <is>
          <t>待启动</t>
        </is>
      </c>
    </row>
    <row r="141">
      <c r="A141" s="4" t="n">
        <v>138</v>
      </c>
      <c r="B141" s="5" t="inlineStr">
        <is>
          <t>PJ-2026-0138</t>
        </is>
      </c>
      <c r="C141" s="6" t="inlineStr">
        <is>
          <t>解放路医院改扩建项目（二期）</t>
        </is>
      </c>
      <c r="D141" s="4" t="inlineStr">
        <is>
          <t>高英</t>
        </is>
      </c>
      <c r="E141" s="7" t="n">
        <v>3969</v>
      </c>
      <c r="F141" s="7" t="n">
        <v>3889.62</v>
      </c>
      <c r="G141" s="7">
        <f>E141-F141</f>
        <v/>
      </c>
      <c r="H141" s="8">
        <f>IFERROR(F141/E141,0)</f>
        <v/>
      </c>
      <c r="I141" s="4">
        <f>IF(H141&gt;=1,"超预算",IF(H141&gt;=0.9,"预警","正常"))</f>
        <v/>
      </c>
      <c r="J141" s="4">
        <f>RANK(F141,$F$4:$F$1203,0)</f>
        <v/>
      </c>
      <c r="K141" s="4" t="inlineStr">
        <is>
          <t>完工</t>
        </is>
      </c>
    </row>
    <row r="142">
      <c r="A142" s="4" t="n">
        <v>139</v>
      </c>
      <c r="B142" s="5" t="inlineStr">
        <is>
          <t>PJ-2026-0139</t>
        </is>
      </c>
      <c r="C142" s="6" t="inlineStr">
        <is>
          <t>和平街公交枢纽建设工程（三期）</t>
        </is>
      </c>
      <c r="D142" s="4" t="inlineStr">
        <is>
          <t>林强</t>
        </is>
      </c>
      <c r="E142" s="7" t="n">
        <v>4106</v>
      </c>
      <c r="F142" s="7" t="n">
        <v>2340.42</v>
      </c>
      <c r="G142" s="7">
        <f>E142-F142</f>
        <v/>
      </c>
      <c r="H142" s="8">
        <f>IFERROR(F142/E142,0)</f>
        <v/>
      </c>
      <c r="I142" s="4">
        <f>IF(H142&gt;=1,"超预算",IF(H142&gt;=0.9,"预警","正常"))</f>
        <v/>
      </c>
      <c r="J142" s="4">
        <f>RANK(F142,$F$4:$F$1203,0)</f>
        <v/>
      </c>
      <c r="K142" s="4" t="inlineStr">
        <is>
          <t>在建</t>
        </is>
      </c>
    </row>
    <row r="143">
      <c r="A143" s="4" t="n">
        <v>140</v>
      </c>
      <c r="B143" s="5" t="inlineStr">
        <is>
          <t>PJ-2026-0140</t>
        </is>
      </c>
      <c r="C143" s="6" t="inlineStr">
        <is>
          <t>光明街公共停车场建设工程（四期）</t>
        </is>
      </c>
      <c r="D143" s="4" t="inlineStr">
        <is>
          <t>罗娟</t>
        </is>
      </c>
      <c r="E143" s="7" t="n">
        <v>4243</v>
      </c>
      <c r="F143" s="7" t="n">
        <v>3648.98</v>
      </c>
      <c r="G143" s="7">
        <f>E143-F143</f>
        <v/>
      </c>
      <c r="H143" s="8">
        <f>IFERROR(F143/E143,0)</f>
        <v/>
      </c>
      <c r="I143" s="4">
        <f>IF(H143&gt;=1,"超预算",IF(H143&gt;=0.9,"预警","正常"))</f>
        <v/>
      </c>
      <c r="J143" s="4">
        <f>RANK(F143,$F$4:$F$1203,0)</f>
        <v/>
      </c>
      <c r="K143" s="4" t="inlineStr">
        <is>
          <t>待启动</t>
        </is>
      </c>
    </row>
    <row r="144">
      <c r="A144" s="4" t="n">
        <v>141</v>
      </c>
      <c r="B144" s="5" t="inlineStr">
        <is>
          <t>PJ-2026-0141</t>
        </is>
      </c>
      <c r="C144" s="6" t="inlineStr">
        <is>
          <t>城东路道路改造工程</t>
        </is>
      </c>
      <c r="D144" s="4" t="inlineStr">
        <is>
          <t>张平</t>
        </is>
      </c>
      <c r="E144" s="7" t="n">
        <v>4380</v>
      </c>
      <c r="F144" s="7" t="n">
        <v>1971</v>
      </c>
      <c r="G144" s="7">
        <f>E144-F144</f>
        <v/>
      </c>
      <c r="H144" s="8">
        <f>IFERROR(F144/E144,0)</f>
        <v/>
      </c>
      <c r="I144" s="4">
        <f>IF(H144&gt;=1,"超预算",IF(H144&gt;=0.9,"预警","正常"))</f>
        <v/>
      </c>
      <c r="J144" s="4">
        <f>RANK(F144,$F$4:$F$1203,0)</f>
        <v/>
      </c>
      <c r="K144" s="4" t="inlineStr">
        <is>
          <t>完工</t>
        </is>
      </c>
    </row>
    <row r="145">
      <c r="A145" s="4" t="n">
        <v>142</v>
      </c>
      <c r="B145" s="5" t="inlineStr">
        <is>
          <t>PJ-2026-0142</t>
        </is>
      </c>
      <c r="C145" s="6" t="inlineStr">
        <is>
          <t>解放路老旧小区改造项目（二期）</t>
        </is>
      </c>
      <c r="D145" s="4" t="inlineStr">
        <is>
          <t>王敏</t>
        </is>
      </c>
      <c r="E145" s="7" t="n">
        <v>4517</v>
      </c>
      <c r="F145" s="7" t="n">
        <v>3342.58</v>
      </c>
      <c r="G145" s="7">
        <f>E145-F145</f>
        <v/>
      </c>
      <c r="H145" s="8">
        <f>IFERROR(F145/E145,0)</f>
        <v/>
      </c>
      <c r="I145" s="4">
        <f>IF(H145&gt;=1,"超预算",IF(H145&gt;=0.9,"预警","正常"))</f>
        <v/>
      </c>
      <c r="J145" s="4">
        <f>RANK(F145,$F$4:$F$1203,0)</f>
        <v/>
      </c>
      <c r="K145" s="4" t="inlineStr">
        <is>
          <t>在建</t>
        </is>
      </c>
    </row>
    <row r="146">
      <c r="A146" s="4" t="n">
        <v>143</v>
      </c>
      <c r="B146" s="5" t="inlineStr">
        <is>
          <t>PJ-2026-0143</t>
        </is>
      </c>
      <c r="C146" s="6" t="inlineStr">
        <is>
          <t>和平街智慧园区建设项目（三期）</t>
        </is>
      </c>
      <c r="D146" s="4" t="inlineStr">
        <is>
          <t>李勇</t>
        </is>
      </c>
      <c r="E146" s="7" t="n">
        <v>4654</v>
      </c>
      <c r="F146" s="7" t="n">
        <v>4793.62</v>
      </c>
      <c r="G146" s="7">
        <f>E146-F146</f>
        <v/>
      </c>
      <c r="H146" s="8">
        <f>IFERROR(F146/E146,0)</f>
        <v/>
      </c>
      <c r="I146" s="4">
        <f>IF(H146&gt;=1,"超预算",IF(H146&gt;=0.9,"预警","正常"))</f>
        <v/>
      </c>
      <c r="J146" s="4">
        <f>RANK(F146,$F$4:$F$1203,0)</f>
        <v/>
      </c>
      <c r="K146" s="4" t="inlineStr">
        <is>
          <t>待启动</t>
        </is>
      </c>
    </row>
    <row r="147">
      <c r="A147" s="4" t="n">
        <v>144</v>
      </c>
      <c r="B147" s="5" t="inlineStr">
        <is>
          <t>PJ-2026-0144</t>
        </is>
      </c>
      <c r="C147" s="6" t="inlineStr">
        <is>
          <t>光明街污水处理扩容工程（四期）</t>
        </is>
      </c>
      <c r="D147" s="4" t="inlineStr">
        <is>
          <t>赵秀</t>
        </is>
      </c>
      <c r="E147" s="7" t="n">
        <v>4791</v>
      </c>
      <c r="F147" s="7" t="n">
        <v>2970.42</v>
      </c>
      <c r="G147" s="7">
        <f>E147-F147</f>
        <v/>
      </c>
      <c r="H147" s="8">
        <f>IFERROR(F147/E147,0)</f>
        <v/>
      </c>
      <c r="I147" s="4">
        <f>IF(H147&gt;=1,"超预算",IF(H147&gt;=0.9,"预警","正常"))</f>
        <v/>
      </c>
      <c r="J147" s="4">
        <f>RANK(F147,$F$4:$F$1203,0)</f>
        <v/>
      </c>
      <c r="K147" s="4" t="inlineStr">
        <is>
          <t>完工</t>
        </is>
      </c>
    </row>
    <row r="148">
      <c r="A148" s="4" t="n">
        <v>145</v>
      </c>
      <c r="B148" s="5" t="inlineStr">
        <is>
          <t>PJ-2026-0145</t>
        </is>
      </c>
      <c r="C148" s="6" t="inlineStr">
        <is>
          <t>城东路供水管网更新工程</t>
        </is>
      </c>
      <c r="D148" s="4" t="inlineStr">
        <is>
          <t>刘伟</t>
        </is>
      </c>
      <c r="E148" s="7" t="n">
        <v>4928</v>
      </c>
      <c r="F148" s="7" t="n">
        <v>4484.48</v>
      </c>
      <c r="G148" s="7">
        <f>E148-F148</f>
        <v/>
      </c>
      <c r="H148" s="8">
        <f>IFERROR(F148/E148,0)</f>
        <v/>
      </c>
      <c r="I148" s="4">
        <f>IF(H148&gt;=1,"超预算",IF(H148&gt;=0.9,"预警","正常"))</f>
        <v/>
      </c>
      <c r="J148" s="4">
        <f>RANK(F148,$F$4:$F$1203,0)</f>
        <v/>
      </c>
      <c r="K148" s="4" t="inlineStr">
        <is>
          <t>在建</t>
        </is>
      </c>
    </row>
    <row r="149">
      <c r="A149" s="4" t="n">
        <v>146</v>
      </c>
      <c r="B149" s="5" t="inlineStr">
        <is>
          <t>PJ-2026-0146</t>
        </is>
      </c>
      <c r="C149" s="6" t="inlineStr">
        <is>
          <t>解放路河道综合整治工程（二期）</t>
        </is>
      </c>
      <c r="D149" s="4" t="inlineStr">
        <is>
          <t>陈磊</t>
        </is>
      </c>
      <c r="E149" s="7" t="n">
        <v>115</v>
      </c>
      <c r="F149" s="7" t="n">
        <v>57.5</v>
      </c>
      <c r="G149" s="7">
        <f>E149-F149</f>
        <v/>
      </c>
      <c r="H149" s="8">
        <f>IFERROR(F149/E149,0)</f>
        <v/>
      </c>
      <c r="I149" s="4">
        <f>IF(H149&gt;=1,"超预算",IF(H149&gt;=0.9,"预警","正常"))</f>
        <v/>
      </c>
      <c r="J149" s="4">
        <f>RANK(F149,$F$4:$F$1203,0)</f>
        <v/>
      </c>
      <c r="K149" s="4" t="inlineStr">
        <is>
          <t>待启动</t>
        </is>
      </c>
    </row>
    <row r="150">
      <c r="A150" s="4" t="n">
        <v>147</v>
      </c>
      <c r="B150" s="5" t="inlineStr">
        <is>
          <t>PJ-2026-0147</t>
        </is>
      </c>
      <c r="C150" s="6" t="inlineStr">
        <is>
          <t>和平街学校新建工程（三期）</t>
        </is>
      </c>
      <c r="D150" s="4" t="inlineStr">
        <is>
          <t>杨涛</t>
        </is>
      </c>
      <c r="E150" s="7" t="n">
        <v>252</v>
      </c>
      <c r="F150" s="7" t="n">
        <v>199.08</v>
      </c>
      <c r="G150" s="7">
        <f>E150-F150</f>
        <v/>
      </c>
      <c r="H150" s="8">
        <f>IFERROR(F150/E150,0)</f>
        <v/>
      </c>
      <c r="I150" s="4">
        <f>IF(H150&gt;=1,"超预算",IF(H150&gt;=0.9,"预警","正常"))</f>
        <v/>
      </c>
      <c r="J150" s="4">
        <f>RANK(F150,$F$4:$F$1203,0)</f>
        <v/>
      </c>
      <c r="K150" s="4" t="inlineStr">
        <is>
          <t>完工</t>
        </is>
      </c>
    </row>
    <row r="151">
      <c r="A151" s="4" t="n">
        <v>148</v>
      </c>
      <c r="B151" s="5" t="inlineStr">
        <is>
          <t>PJ-2026-0148</t>
        </is>
      </c>
      <c r="C151" s="6" t="inlineStr">
        <is>
          <t>光明街医院改扩建项目（四期）</t>
        </is>
      </c>
      <c r="D151" s="4" t="inlineStr">
        <is>
          <t>黄刚</t>
        </is>
      </c>
      <c r="E151" s="7" t="n">
        <v>389</v>
      </c>
      <c r="F151" s="7" t="n">
        <v>420.12</v>
      </c>
      <c r="G151" s="7">
        <f>E151-F151</f>
        <v/>
      </c>
      <c r="H151" s="8">
        <f>IFERROR(F151/E151,0)</f>
        <v/>
      </c>
      <c r="I151" s="4">
        <f>IF(H151&gt;=1,"超预算",IF(H151&gt;=0.9,"预警","正常"))</f>
        <v/>
      </c>
      <c r="J151" s="4">
        <f>RANK(F151,$F$4:$F$1203,0)</f>
        <v/>
      </c>
      <c r="K151" s="4" t="inlineStr">
        <is>
          <t>在建</t>
        </is>
      </c>
    </row>
    <row r="152">
      <c r="A152" s="4" t="n">
        <v>149</v>
      </c>
      <c r="B152" s="5" t="inlineStr">
        <is>
          <t>PJ-2026-0149</t>
        </is>
      </c>
      <c r="C152" s="6" t="inlineStr">
        <is>
          <t>城东路公交枢纽建设工程</t>
        </is>
      </c>
      <c r="D152" s="4" t="inlineStr">
        <is>
          <t>周静</t>
        </is>
      </c>
      <c r="E152" s="7" t="n">
        <v>526</v>
      </c>
      <c r="F152" s="7" t="n">
        <v>352.42</v>
      </c>
      <c r="G152" s="7">
        <f>E152-F152</f>
        <v/>
      </c>
      <c r="H152" s="8">
        <f>IFERROR(F152/E152,0)</f>
        <v/>
      </c>
      <c r="I152" s="4">
        <f>IF(H152&gt;=1,"超预算",IF(H152&gt;=0.9,"预警","正常"))</f>
        <v/>
      </c>
      <c r="J152" s="4">
        <f>RANK(F152,$F$4:$F$1203,0)</f>
        <v/>
      </c>
      <c r="K152" s="4" t="inlineStr">
        <is>
          <t>待启动</t>
        </is>
      </c>
    </row>
    <row r="153">
      <c r="A153" s="4" t="n">
        <v>150</v>
      </c>
      <c r="B153" s="5" t="inlineStr">
        <is>
          <t>PJ-2026-0150</t>
        </is>
      </c>
      <c r="C153" s="6" t="inlineStr">
        <is>
          <t>解放路公共停车场建设工程（二期）</t>
        </is>
      </c>
      <c r="D153" s="4" t="inlineStr">
        <is>
          <t>吴艳</t>
        </is>
      </c>
      <c r="E153" s="7" t="n">
        <v>663</v>
      </c>
      <c r="F153" s="7" t="n">
        <v>636.48</v>
      </c>
      <c r="G153" s="7">
        <f>E153-F153</f>
        <v/>
      </c>
      <c r="H153" s="8">
        <f>IFERROR(F153/E153,0)</f>
        <v/>
      </c>
      <c r="I153" s="4">
        <f>IF(H153&gt;=1,"超预算",IF(H153&gt;=0.9,"预警","正常"))</f>
        <v/>
      </c>
      <c r="J153" s="4">
        <f>RANK(F153,$F$4:$F$1203,0)</f>
        <v/>
      </c>
      <c r="K153" s="4" t="inlineStr">
        <is>
          <t>完工</t>
        </is>
      </c>
    </row>
    <row r="154">
      <c r="A154" s="4" t="n">
        <v>151</v>
      </c>
      <c r="B154" s="5" t="inlineStr">
        <is>
          <t>PJ-2026-0151</t>
        </is>
      </c>
      <c r="C154" s="6" t="inlineStr">
        <is>
          <t>和平街道路改造工程（三期）</t>
        </is>
      </c>
      <c r="D154" s="4" t="inlineStr">
        <is>
          <t>徐英</t>
        </is>
      </c>
      <c r="E154" s="7" t="n">
        <v>800</v>
      </c>
      <c r="F154" s="7" t="n">
        <v>440</v>
      </c>
      <c r="G154" s="7">
        <f>E154-F154</f>
        <v/>
      </c>
      <c r="H154" s="8">
        <f>IFERROR(F154/E154,0)</f>
        <v/>
      </c>
      <c r="I154" s="4">
        <f>IF(H154&gt;=1,"超预算",IF(H154&gt;=0.9,"预警","正常"))</f>
        <v/>
      </c>
      <c r="J154" s="4">
        <f>RANK(F154,$F$4:$F$1203,0)</f>
        <v/>
      </c>
      <c r="K154" s="4" t="inlineStr">
        <is>
          <t>在建</t>
        </is>
      </c>
    </row>
    <row r="155">
      <c r="A155" s="4" t="n">
        <v>152</v>
      </c>
      <c r="B155" s="5" t="inlineStr">
        <is>
          <t>PJ-2026-0152</t>
        </is>
      </c>
      <c r="C155" s="6" t="inlineStr">
        <is>
          <t>光明街老旧小区改造项目（四期）</t>
        </is>
      </c>
      <c r="D155" s="4" t="inlineStr">
        <is>
          <t>孙芳</t>
        </is>
      </c>
      <c r="E155" s="7" t="n">
        <v>937</v>
      </c>
      <c r="F155" s="7" t="n">
        <v>787.08</v>
      </c>
      <c r="G155" s="7">
        <f>E155-F155</f>
        <v/>
      </c>
      <c r="H155" s="8">
        <f>IFERROR(F155/E155,0)</f>
        <v/>
      </c>
      <c r="I155" s="4">
        <f>IF(H155&gt;=1,"超预算",IF(H155&gt;=0.9,"预警","正常"))</f>
        <v/>
      </c>
      <c r="J155" s="4">
        <f>RANK(F155,$F$4:$F$1203,0)</f>
        <v/>
      </c>
      <c r="K155" s="4" t="inlineStr">
        <is>
          <t>待启动</t>
        </is>
      </c>
    </row>
    <row r="156">
      <c r="A156" s="4" t="n">
        <v>153</v>
      </c>
      <c r="B156" s="5" t="inlineStr">
        <is>
          <t>PJ-2026-0153</t>
        </is>
      </c>
      <c r="C156" s="6" t="inlineStr">
        <is>
          <t>城东路智慧园区建设项目</t>
        </is>
      </c>
      <c r="D156" s="4" t="inlineStr">
        <is>
          <t>马军</t>
        </is>
      </c>
      <c r="E156" s="7" t="n">
        <v>1074</v>
      </c>
      <c r="F156" s="7" t="n">
        <v>1213.62</v>
      </c>
      <c r="G156" s="7">
        <f>E156-F156</f>
        <v/>
      </c>
      <c r="H156" s="8">
        <f>IFERROR(F156/E156,0)</f>
        <v/>
      </c>
      <c r="I156" s="4">
        <f>IF(H156&gt;=1,"超预算",IF(H156&gt;=0.9,"预警","正常"))</f>
        <v/>
      </c>
      <c r="J156" s="4">
        <f>RANK(F156,$F$4:$F$1203,0)</f>
        <v/>
      </c>
      <c r="K156" s="4" t="inlineStr">
        <is>
          <t>完工</t>
        </is>
      </c>
    </row>
    <row r="157">
      <c r="A157" s="4" t="n">
        <v>154</v>
      </c>
      <c r="B157" s="5" t="inlineStr">
        <is>
          <t>PJ-2026-0154</t>
        </is>
      </c>
      <c r="C157" s="6" t="inlineStr">
        <is>
          <t>解放路污水处理扩容工程（二期）</t>
        </is>
      </c>
      <c r="D157" s="4" t="inlineStr">
        <is>
          <t>朱明</t>
        </is>
      </c>
      <c r="E157" s="7" t="n">
        <v>1211</v>
      </c>
      <c r="F157" s="7" t="n">
        <v>871.92</v>
      </c>
      <c r="G157" s="7">
        <f>E157-F157</f>
        <v/>
      </c>
      <c r="H157" s="8">
        <f>IFERROR(F157/E157,0)</f>
        <v/>
      </c>
      <c r="I157" s="4">
        <f>IF(H157&gt;=1,"超预算",IF(H157&gt;=0.9,"预警","正常"))</f>
        <v/>
      </c>
      <c r="J157" s="4">
        <f>RANK(F157,$F$4:$F$1203,0)</f>
        <v/>
      </c>
      <c r="K157" s="4" t="inlineStr">
        <is>
          <t>在建</t>
        </is>
      </c>
    </row>
    <row r="158">
      <c r="A158" s="4" t="n">
        <v>155</v>
      </c>
      <c r="B158" s="5" t="inlineStr">
        <is>
          <t>PJ-2026-0155</t>
        </is>
      </c>
      <c r="C158" s="6" t="inlineStr">
        <is>
          <t>和平街供水管网更新工程（三期）</t>
        </is>
      </c>
      <c r="D158" s="4" t="inlineStr">
        <is>
          <t>胡桂</t>
        </is>
      </c>
      <c r="E158" s="7" t="n">
        <v>1348</v>
      </c>
      <c r="F158" s="7" t="n">
        <v>1361.48</v>
      </c>
      <c r="G158" s="7">
        <f>E158-F158</f>
        <v/>
      </c>
      <c r="H158" s="8">
        <f>IFERROR(F158/E158,0)</f>
        <v/>
      </c>
      <c r="I158" s="4">
        <f>IF(H158&gt;=1,"超预算",IF(H158&gt;=0.9,"预警","正常"))</f>
        <v/>
      </c>
      <c r="J158" s="4">
        <f>RANK(F158,$F$4:$F$1203,0)</f>
        <v/>
      </c>
      <c r="K158" s="4" t="inlineStr">
        <is>
          <t>待启动</t>
        </is>
      </c>
    </row>
    <row r="159">
      <c r="A159" s="4" t="n">
        <v>156</v>
      </c>
      <c r="B159" s="5" t="inlineStr">
        <is>
          <t>PJ-2026-0156</t>
        </is>
      </c>
      <c r="C159" s="6" t="inlineStr">
        <is>
          <t>光明街河道综合整治工程（四期）</t>
        </is>
      </c>
      <c r="D159" s="4" t="inlineStr">
        <is>
          <t>郭丽</t>
        </is>
      </c>
      <c r="E159" s="7" t="n">
        <v>1485</v>
      </c>
      <c r="F159" s="7" t="n">
        <v>891</v>
      </c>
      <c r="G159" s="7">
        <f>E159-F159</f>
        <v/>
      </c>
      <c r="H159" s="8">
        <f>IFERROR(F159/E159,0)</f>
        <v/>
      </c>
      <c r="I159" s="4">
        <f>IF(H159&gt;=1,"超预算",IF(H159&gt;=0.9,"预警","正常"))</f>
        <v/>
      </c>
      <c r="J159" s="4">
        <f>RANK(F159,$F$4:$F$1203,0)</f>
        <v/>
      </c>
      <c r="K159" s="4" t="inlineStr">
        <is>
          <t>完工</t>
        </is>
      </c>
    </row>
    <row r="160">
      <c r="A160" s="4" t="n">
        <v>157</v>
      </c>
      <c r="B160" s="5" t="inlineStr">
        <is>
          <t>PJ-2026-0157</t>
        </is>
      </c>
      <c r="C160" s="6" t="inlineStr">
        <is>
          <t>城东路学校新建工程</t>
        </is>
      </c>
      <c r="D160" s="4" t="inlineStr">
        <is>
          <t>何杰</t>
        </is>
      </c>
      <c r="E160" s="7" t="n">
        <v>1622</v>
      </c>
      <c r="F160" s="7" t="n">
        <v>1443.58</v>
      </c>
      <c r="G160" s="7">
        <f>E160-F160</f>
        <v/>
      </c>
      <c r="H160" s="8">
        <f>IFERROR(F160/E160,0)</f>
        <v/>
      </c>
      <c r="I160" s="4">
        <f>IF(H160&gt;=1,"超预算",IF(H160&gt;=0.9,"预警","正常"))</f>
        <v/>
      </c>
      <c r="J160" s="4">
        <f>RANK(F160,$F$4:$F$1203,0)</f>
        <v/>
      </c>
      <c r="K160" s="4" t="inlineStr">
        <is>
          <t>在建</t>
        </is>
      </c>
    </row>
    <row r="161">
      <c r="A161" s="4" t="n">
        <v>158</v>
      </c>
      <c r="B161" s="5" t="inlineStr">
        <is>
          <t>PJ-2026-0158</t>
        </is>
      </c>
      <c r="C161" s="6" t="inlineStr">
        <is>
          <t>解放路医院改扩建项目（二期）</t>
        </is>
      </c>
      <c r="D161" s="4" t="inlineStr">
        <is>
          <t>高霞</t>
        </is>
      </c>
      <c r="E161" s="7" t="n">
        <v>1759</v>
      </c>
      <c r="F161" s="7" t="n">
        <v>844.3200000000001</v>
      </c>
      <c r="G161" s="7">
        <f>E161-F161</f>
        <v/>
      </c>
      <c r="H161" s="8">
        <f>IFERROR(F161/E161,0)</f>
        <v/>
      </c>
      <c r="I161" s="4">
        <f>IF(H161&gt;=1,"超预算",IF(H161&gt;=0.9,"预警","正常"))</f>
        <v/>
      </c>
      <c r="J161" s="4">
        <f>RANK(F161,$F$4:$F$1203,0)</f>
        <v/>
      </c>
      <c r="K161" s="4" t="inlineStr">
        <is>
          <t>待启动</t>
        </is>
      </c>
    </row>
    <row r="162">
      <c r="A162" s="4" t="n">
        <v>159</v>
      </c>
      <c r="B162" s="5" t="inlineStr">
        <is>
          <t>PJ-2026-0159</t>
        </is>
      </c>
      <c r="C162" s="6" t="inlineStr">
        <is>
          <t>和平街公交枢纽建设工程（三期）</t>
        </is>
      </c>
      <c r="D162" s="4" t="inlineStr">
        <is>
          <t>林娜</t>
        </is>
      </c>
      <c r="E162" s="7" t="n">
        <v>1896</v>
      </c>
      <c r="F162" s="7" t="n">
        <v>1459.92</v>
      </c>
      <c r="G162" s="7">
        <f>E162-F162</f>
        <v/>
      </c>
      <c r="H162" s="8">
        <f>IFERROR(F162/E162,0)</f>
        <v/>
      </c>
      <c r="I162" s="4">
        <f>IF(H162&gt;=1,"超预算",IF(H162&gt;=0.9,"预警","正常"))</f>
        <v/>
      </c>
      <c r="J162" s="4">
        <f>RANK(F162,$F$4:$F$1203,0)</f>
        <v/>
      </c>
      <c r="K162" s="4" t="inlineStr">
        <is>
          <t>完工</t>
        </is>
      </c>
    </row>
    <row r="163">
      <c r="A163" s="4" t="n">
        <v>160</v>
      </c>
      <c r="B163" s="5" t="inlineStr">
        <is>
          <t>PJ-2026-0160</t>
        </is>
      </c>
      <c r="C163" s="6" t="inlineStr">
        <is>
          <t>光明街公共停车场建设工程（四期）</t>
        </is>
      </c>
      <c r="D163" s="4" t="inlineStr">
        <is>
          <t>罗洋</t>
        </is>
      </c>
      <c r="E163" s="7" t="n">
        <v>2033</v>
      </c>
      <c r="F163" s="7" t="n">
        <v>2154.98</v>
      </c>
      <c r="G163" s="7">
        <f>E163-F163</f>
        <v/>
      </c>
      <c r="H163" s="8">
        <f>IFERROR(F163/E163,0)</f>
        <v/>
      </c>
      <c r="I163" s="4">
        <f>IF(H163&gt;=1,"超预算",IF(H163&gt;=0.9,"预警","正常"))</f>
        <v/>
      </c>
      <c r="J163" s="4">
        <f>RANK(F163,$F$4:$F$1203,0)</f>
        <v/>
      </c>
      <c r="K163" s="4" t="inlineStr">
        <is>
          <t>在建</t>
        </is>
      </c>
    </row>
    <row r="164">
      <c r="A164" s="4" t="n">
        <v>161</v>
      </c>
      <c r="B164" s="5" t="inlineStr">
        <is>
          <t>PJ-2026-0161</t>
        </is>
      </c>
      <c r="C164" s="6" t="inlineStr">
        <is>
          <t>城东路道路改造工程</t>
        </is>
      </c>
      <c r="D164" s="4" t="inlineStr">
        <is>
          <t>张超</t>
        </is>
      </c>
      <c r="E164" s="7" t="n">
        <v>2170</v>
      </c>
      <c r="F164" s="7" t="n">
        <v>1410.5</v>
      </c>
      <c r="G164" s="7">
        <f>E164-F164</f>
        <v/>
      </c>
      <c r="H164" s="8">
        <f>IFERROR(F164/E164,0)</f>
        <v/>
      </c>
      <c r="I164" s="4">
        <f>IF(H164&gt;=1,"超预算",IF(H164&gt;=0.9,"预警","正常"))</f>
        <v/>
      </c>
      <c r="J164" s="4">
        <f>RANK(F164,$F$4:$F$1203,0)</f>
        <v/>
      </c>
      <c r="K164" s="4" t="inlineStr">
        <is>
          <t>待启动</t>
        </is>
      </c>
    </row>
    <row r="165">
      <c r="A165" s="4" t="n">
        <v>162</v>
      </c>
      <c r="B165" s="5" t="inlineStr">
        <is>
          <t>PJ-2026-0162</t>
        </is>
      </c>
      <c r="C165" s="6" t="inlineStr">
        <is>
          <t>解放路老旧小区改造项目（二期）</t>
        </is>
      </c>
      <c r="D165" s="4" t="inlineStr">
        <is>
          <t>王英</t>
        </is>
      </c>
      <c r="E165" s="7" t="n">
        <v>2307</v>
      </c>
      <c r="F165" s="7" t="n">
        <v>2168.58</v>
      </c>
      <c r="G165" s="7">
        <f>E165-F165</f>
        <v/>
      </c>
      <c r="H165" s="8">
        <f>IFERROR(F165/E165,0)</f>
        <v/>
      </c>
      <c r="I165" s="4">
        <f>IF(H165&gt;=1,"超预算",IF(H165&gt;=0.9,"预警","正常"))</f>
        <v/>
      </c>
      <c r="J165" s="4">
        <f>RANK(F165,$F$4:$F$1203,0)</f>
        <v/>
      </c>
      <c r="K165" s="4" t="inlineStr">
        <is>
          <t>完工</t>
        </is>
      </c>
    </row>
    <row r="166">
      <c r="A166" s="4" t="n">
        <v>163</v>
      </c>
      <c r="B166" s="5" t="inlineStr">
        <is>
          <t>PJ-2026-0163</t>
        </is>
      </c>
      <c r="C166" s="6" t="inlineStr">
        <is>
          <t>和平街智慧园区建设项目（三期）</t>
        </is>
      </c>
      <c r="D166" s="4" t="inlineStr">
        <is>
          <t>李强</t>
        </is>
      </c>
      <c r="E166" s="7" t="n">
        <v>2444</v>
      </c>
      <c r="F166" s="7" t="n">
        <v>1295.32</v>
      </c>
      <c r="G166" s="7">
        <f>E166-F166</f>
        <v/>
      </c>
      <c r="H166" s="8">
        <f>IFERROR(F166/E166,0)</f>
        <v/>
      </c>
      <c r="I166" s="4">
        <f>IF(H166&gt;=1,"超预算",IF(H166&gt;=0.9,"预警","正常"))</f>
        <v/>
      </c>
      <c r="J166" s="4">
        <f>RANK(F166,$F$4:$F$1203,0)</f>
        <v/>
      </c>
      <c r="K166" s="4" t="inlineStr">
        <is>
          <t>在建</t>
        </is>
      </c>
    </row>
    <row r="167">
      <c r="A167" s="4" t="n">
        <v>164</v>
      </c>
      <c r="B167" s="5" t="inlineStr">
        <is>
          <t>PJ-2026-0164</t>
        </is>
      </c>
      <c r="C167" s="6" t="inlineStr">
        <is>
          <t>光明街污水处理扩容工程（四期）</t>
        </is>
      </c>
      <c r="D167" s="4" t="inlineStr">
        <is>
          <t>赵娟</t>
        </is>
      </c>
      <c r="E167" s="7" t="n">
        <v>2581</v>
      </c>
      <c r="F167" s="7" t="n">
        <v>2116.42</v>
      </c>
      <c r="G167" s="7">
        <f>E167-F167</f>
        <v/>
      </c>
      <c r="H167" s="8">
        <f>IFERROR(F167/E167,0)</f>
        <v/>
      </c>
      <c r="I167" s="4">
        <f>IF(H167&gt;=1,"超预算",IF(H167&gt;=0.9,"预警","正常"))</f>
        <v/>
      </c>
      <c r="J167" s="4">
        <f>RANK(F167,$F$4:$F$1203,0)</f>
        <v/>
      </c>
      <c r="K167" s="4" t="inlineStr">
        <is>
          <t>待启动</t>
        </is>
      </c>
    </row>
    <row r="168">
      <c r="A168" s="4" t="n">
        <v>165</v>
      </c>
      <c r="B168" s="5" t="inlineStr">
        <is>
          <t>PJ-2026-0165</t>
        </is>
      </c>
      <c r="C168" s="6" t="inlineStr">
        <is>
          <t>城东路供水管网更新工程</t>
        </is>
      </c>
      <c r="D168" s="4" t="inlineStr">
        <is>
          <t>刘平</t>
        </is>
      </c>
      <c r="E168" s="7" t="n">
        <v>2718</v>
      </c>
      <c r="F168" s="7" t="n">
        <v>3016.98</v>
      </c>
      <c r="G168" s="7">
        <f>E168-F168</f>
        <v/>
      </c>
      <c r="H168" s="8">
        <f>IFERROR(F168/E168,0)</f>
        <v/>
      </c>
      <c r="I168" s="4">
        <f>IF(H168&gt;=1,"超预算",IF(H168&gt;=0.9,"预警","正常"))</f>
        <v/>
      </c>
      <c r="J168" s="4">
        <f>RANK(F168,$F$4:$F$1203,0)</f>
        <v/>
      </c>
      <c r="K168" s="4" t="inlineStr">
        <is>
          <t>完工</t>
        </is>
      </c>
    </row>
    <row r="169">
      <c r="A169" s="4" t="n">
        <v>166</v>
      </c>
      <c r="B169" s="5" t="inlineStr">
        <is>
          <t>PJ-2026-0166</t>
        </is>
      </c>
      <c r="C169" s="6" t="inlineStr">
        <is>
          <t>解放路河道综合整治工程（二期）</t>
        </is>
      </c>
      <c r="D169" s="4" t="inlineStr">
        <is>
          <t>陈敏</t>
        </is>
      </c>
      <c r="E169" s="7" t="n">
        <v>2855</v>
      </c>
      <c r="F169" s="7" t="n">
        <v>1998.5</v>
      </c>
      <c r="G169" s="7">
        <f>E169-F169</f>
        <v/>
      </c>
      <c r="H169" s="8">
        <f>IFERROR(F169/E169,0)</f>
        <v/>
      </c>
      <c r="I169" s="4">
        <f>IF(H169&gt;=1,"超预算",IF(H169&gt;=0.9,"预警","正常"))</f>
        <v/>
      </c>
      <c r="J169" s="4">
        <f>RANK(F169,$F$4:$F$1203,0)</f>
        <v/>
      </c>
      <c r="K169" s="4" t="inlineStr">
        <is>
          <t>在建</t>
        </is>
      </c>
    </row>
    <row r="170">
      <c r="A170" s="4" t="n">
        <v>167</v>
      </c>
      <c r="B170" s="5" t="inlineStr">
        <is>
          <t>PJ-2026-0167</t>
        </is>
      </c>
      <c r="C170" s="6" t="inlineStr">
        <is>
          <t>和平街学校新建工程（三期）</t>
        </is>
      </c>
      <c r="D170" s="4" t="inlineStr">
        <is>
          <t>杨勇</t>
        </is>
      </c>
      <c r="E170" s="7" t="n">
        <v>2992</v>
      </c>
      <c r="F170" s="7" t="n">
        <v>2962.08</v>
      </c>
      <c r="G170" s="7">
        <f>E170-F170</f>
        <v/>
      </c>
      <c r="H170" s="8">
        <f>IFERROR(F170/E170,0)</f>
        <v/>
      </c>
      <c r="I170" s="4">
        <f>IF(H170&gt;=1,"超预算",IF(H170&gt;=0.9,"预警","正常"))</f>
        <v/>
      </c>
      <c r="J170" s="4">
        <f>RANK(F170,$F$4:$F$1203,0)</f>
        <v/>
      </c>
      <c r="K170" s="4" t="inlineStr">
        <is>
          <t>待启动</t>
        </is>
      </c>
    </row>
    <row r="171">
      <c r="A171" s="4" t="n">
        <v>168</v>
      </c>
      <c r="B171" s="5" t="inlineStr">
        <is>
          <t>PJ-2026-0168</t>
        </is>
      </c>
      <c r="C171" s="6" t="inlineStr">
        <is>
          <t>光明街医院改扩建项目（四期）</t>
        </is>
      </c>
      <c r="D171" s="4" t="inlineStr">
        <is>
          <t>黄秀</t>
        </is>
      </c>
      <c r="E171" s="7" t="n">
        <v>3129</v>
      </c>
      <c r="F171" s="7" t="n">
        <v>1814.82</v>
      </c>
      <c r="G171" s="7">
        <f>E171-F171</f>
        <v/>
      </c>
      <c r="H171" s="8">
        <f>IFERROR(F171/E171,0)</f>
        <v/>
      </c>
      <c r="I171" s="4">
        <f>IF(H171&gt;=1,"超预算",IF(H171&gt;=0.9,"预警","正常"))</f>
        <v/>
      </c>
      <c r="J171" s="4">
        <f>RANK(F171,$F$4:$F$1203,0)</f>
        <v/>
      </c>
      <c r="K171" s="4" t="inlineStr">
        <is>
          <t>完工</t>
        </is>
      </c>
    </row>
    <row r="172">
      <c r="A172" s="4" t="n">
        <v>169</v>
      </c>
      <c r="B172" s="5" t="inlineStr">
        <is>
          <t>PJ-2026-0169</t>
        </is>
      </c>
      <c r="C172" s="6" t="inlineStr">
        <is>
          <t>城东路公交枢纽建设工程</t>
        </is>
      </c>
      <c r="D172" s="4" t="inlineStr">
        <is>
          <t>周伟</t>
        </is>
      </c>
      <c r="E172" s="7" t="n">
        <v>3266</v>
      </c>
      <c r="F172" s="7" t="n">
        <v>2841.42</v>
      </c>
      <c r="G172" s="7">
        <f>E172-F172</f>
        <v/>
      </c>
      <c r="H172" s="8">
        <f>IFERROR(F172/E172,0)</f>
        <v/>
      </c>
      <c r="I172" s="4">
        <f>IF(H172&gt;=1,"超预算",IF(H172&gt;=0.9,"预警","正常"))</f>
        <v/>
      </c>
      <c r="J172" s="4">
        <f>RANK(F172,$F$4:$F$1203,0)</f>
        <v/>
      </c>
      <c r="K172" s="4" t="inlineStr">
        <is>
          <t>在建</t>
        </is>
      </c>
    </row>
    <row r="173">
      <c r="A173" s="4" t="n">
        <v>170</v>
      </c>
      <c r="B173" s="5" t="inlineStr">
        <is>
          <t>PJ-2026-0170</t>
        </is>
      </c>
      <c r="C173" s="6" t="inlineStr">
        <is>
          <t>解放路公共停车场建设工程（二期）</t>
        </is>
      </c>
      <c r="D173" s="4" t="inlineStr">
        <is>
          <t>吴磊</t>
        </is>
      </c>
      <c r="E173" s="7" t="n">
        <v>3403</v>
      </c>
      <c r="F173" s="7" t="n">
        <v>1565.38</v>
      </c>
      <c r="G173" s="7">
        <f>E173-F173</f>
        <v/>
      </c>
      <c r="H173" s="8">
        <f>IFERROR(F173/E173,0)</f>
        <v/>
      </c>
      <c r="I173" s="4">
        <f>IF(H173&gt;=1,"超预算",IF(H173&gt;=0.9,"预警","正常"))</f>
        <v/>
      </c>
      <c r="J173" s="4">
        <f>RANK(F173,$F$4:$F$1203,0)</f>
        <v/>
      </c>
      <c r="K173" s="4" t="inlineStr">
        <is>
          <t>待启动</t>
        </is>
      </c>
    </row>
    <row r="174">
      <c r="A174" s="4" t="n">
        <v>171</v>
      </c>
      <c r="B174" s="5" t="inlineStr">
        <is>
          <t>PJ-2026-0171</t>
        </is>
      </c>
      <c r="C174" s="6" t="inlineStr">
        <is>
          <t>和平街道路改造工程（三期）</t>
        </is>
      </c>
      <c r="D174" s="4" t="inlineStr">
        <is>
          <t>徐涛</t>
        </is>
      </c>
      <c r="E174" s="7" t="n">
        <v>3540</v>
      </c>
      <c r="F174" s="7" t="n">
        <v>2655</v>
      </c>
      <c r="G174" s="7">
        <f>E174-F174</f>
        <v/>
      </c>
      <c r="H174" s="8">
        <f>IFERROR(F174/E174,0)</f>
        <v/>
      </c>
      <c r="I174" s="4">
        <f>IF(H174&gt;=1,"超预算",IF(H174&gt;=0.9,"预警","正常"))</f>
        <v/>
      </c>
      <c r="J174" s="4">
        <f>RANK(F174,$F$4:$F$1203,0)</f>
        <v/>
      </c>
      <c r="K174" s="4" t="inlineStr">
        <is>
          <t>完工</t>
        </is>
      </c>
    </row>
    <row r="175">
      <c r="A175" s="4" t="n">
        <v>172</v>
      </c>
      <c r="B175" s="5" t="inlineStr">
        <is>
          <t>PJ-2026-0172</t>
        </is>
      </c>
      <c r="C175" s="6" t="inlineStr">
        <is>
          <t>光明街老旧小区改造项目（四期）</t>
        </is>
      </c>
      <c r="D175" s="4" t="inlineStr">
        <is>
          <t>孙刚</t>
        </is>
      </c>
      <c r="E175" s="7" t="n">
        <v>3677</v>
      </c>
      <c r="F175" s="7" t="n">
        <v>3824.08</v>
      </c>
      <c r="G175" s="7">
        <f>E175-F175</f>
        <v/>
      </c>
      <c r="H175" s="8">
        <f>IFERROR(F175/E175,0)</f>
        <v/>
      </c>
      <c r="I175" s="4">
        <f>IF(H175&gt;=1,"超预算",IF(H175&gt;=0.9,"预警","正常"))</f>
        <v/>
      </c>
      <c r="J175" s="4">
        <f>RANK(F175,$F$4:$F$1203,0)</f>
        <v/>
      </c>
      <c r="K175" s="4" t="inlineStr">
        <is>
          <t>在建</t>
        </is>
      </c>
    </row>
    <row r="176">
      <c r="A176" s="4" t="n">
        <v>173</v>
      </c>
      <c r="B176" s="5" t="inlineStr">
        <is>
          <t>PJ-2026-0173</t>
        </is>
      </c>
      <c r="C176" s="6" t="inlineStr">
        <is>
          <t>城东路智慧园区建设项目</t>
        </is>
      </c>
      <c r="D176" s="4" t="inlineStr">
        <is>
          <t>马静</t>
        </is>
      </c>
      <c r="E176" s="7" t="n">
        <v>3814</v>
      </c>
      <c r="F176" s="7" t="n">
        <v>2402.82</v>
      </c>
      <c r="G176" s="7">
        <f>E176-F176</f>
        <v/>
      </c>
      <c r="H176" s="8">
        <f>IFERROR(F176/E176,0)</f>
        <v/>
      </c>
      <c r="I176" s="4">
        <f>IF(H176&gt;=1,"超预算",IF(H176&gt;=0.9,"预警","正常"))</f>
        <v/>
      </c>
      <c r="J176" s="4">
        <f>RANK(F176,$F$4:$F$1203,0)</f>
        <v/>
      </c>
      <c r="K176" s="4" t="inlineStr">
        <is>
          <t>待启动</t>
        </is>
      </c>
    </row>
    <row r="177">
      <c r="A177" s="4" t="n">
        <v>174</v>
      </c>
      <c r="B177" s="5" t="inlineStr">
        <is>
          <t>PJ-2026-0174</t>
        </is>
      </c>
      <c r="C177" s="6" t="inlineStr">
        <is>
          <t>解放路污水处理扩容工程（二期）</t>
        </is>
      </c>
      <c r="D177" s="4" t="inlineStr">
        <is>
          <t>朱艳</t>
        </is>
      </c>
      <c r="E177" s="7" t="n">
        <v>3951</v>
      </c>
      <c r="F177" s="7" t="n">
        <v>3634.92</v>
      </c>
      <c r="G177" s="7">
        <f>E177-F177</f>
        <v/>
      </c>
      <c r="H177" s="8">
        <f>IFERROR(F177/E177,0)</f>
        <v/>
      </c>
      <c r="I177" s="4">
        <f>IF(H177&gt;=1,"超预算",IF(H177&gt;=0.9,"预警","正常"))</f>
        <v/>
      </c>
      <c r="J177" s="4">
        <f>RANK(F177,$F$4:$F$1203,0)</f>
        <v/>
      </c>
      <c r="K177" s="4" t="inlineStr">
        <is>
          <t>完工</t>
        </is>
      </c>
    </row>
    <row r="178">
      <c r="A178" s="4" t="n">
        <v>175</v>
      </c>
      <c r="B178" s="5" t="inlineStr">
        <is>
          <t>PJ-2026-0175</t>
        </is>
      </c>
      <c r="C178" s="6" t="inlineStr">
        <is>
          <t>和平街供水管网更新工程（三期）</t>
        </is>
      </c>
      <c r="D178" s="4" t="inlineStr">
        <is>
          <t>胡英</t>
        </is>
      </c>
      <c r="E178" s="7" t="n">
        <v>4088</v>
      </c>
      <c r="F178" s="7" t="n">
        <v>2084.88</v>
      </c>
      <c r="G178" s="7">
        <f>E178-F178</f>
        <v/>
      </c>
      <c r="H178" s="8">
        <f>IFERROR(F178/E178,0)</f>
        <v/>
      </c>
      <c r="I178" s="4">
        <f>IF(H178&gt;=1,"超预算",IF(H178&gt;=0.9,"预警","正常"))</f>
        <v/>
      </c>
      <c r="J178" s="4">
        <f>RANK(F178,$F$4:$F$1203,0)</f>
        <v/>
      </c>
      <c r="K178" s="4" t="inlineStr">
        <is>
          <t>在建</t>
        </is>
      </c>
    </row>
    <row r="179">
      <c r="A179" s="4" t="n">
        <v>176</v>
      </c>
      <c r="B179" s="5" t="inlineStr">
        <is>
          <t>PJ-2026-0176</t>
        </is>
      </c>
      <c r="C179" s="6" t="inlineStr">
        <is>
          <t>光明街河道综合整治工程（四期）</t>
        </is>
      </c>
      <c r="D179" s="4" t="inlineStr">
        <is>
          <t>郭芳</t>
        </is>
      </c>
      <c r="E179" s="7" t="n">
        <v>4225</v>
      </c>
      <c r="F179" s="7" t="n">
        <v>3380</v>
      </c>
      <c r="G179" s="7">
        <f>E179-F179</f>
        <v/>
      </c>
      <c r="H179" s="8">
        <f>IFERROR(F179/E179,0)</f>
        <v/>
      </c>
      <c r="I179" s="4">
        <f>IF(H179&gt;=1,"超预算",IF(H179&gt;=0.9,"预警","正常"))</f>
        <v/>
      </c>
      <c r="J179" s="4">
        <f>RANK(F179,$F$4:$F$1203,0)</f>
        <v/>
      </c>
      <c r="K179" s="4" t="inlineStr">
        <is>
          <t>待启动</t>
        </is>
      </c>
    </row>
    <row r="180">
      <c r="A180" s="4" t="n">
        <v>177</v>
      </c>
      <c r="B180" s="5" t="inlineStr">
        <is>
          <t>PJ-2026-0177</t>
        </is>
      </c>
      <c r="C180" s="6" t="inlineStr">
        <is>
          <t>城东路学校新建工程</t>
        </is>
      </c>
      <c r="D180" s="4" t="inlineStr">
        <is>
          <t>何军</t>
        </is>
      </c>
      <c r="E180" s="7" t="n">
        <v>4362</v>
      </c>
      <c r="F180" s="7" t="n">
        <v>4754.58</v>
      </c>
      <c r="G180" s="7">
        <f>E180-F180</f>
        <v/>
      </c>
      <c r="H180" s="8">
        <f>IFERROR(F180/E180,0)</f>
        <v/>
      </c>
      <c r="I180" s="4">
        <f>IF(H180&gt;=1,"超预算",IF(H180&gt;=0.9,"预警","正常"))</f>
        <v/>
      </c>
      <c r="J180" s="4">
        <f>RANK(F180,$F$4:$F$1203,0)</f>
        <v/>
      </c>
      <c r="K180" s="4" t="inlineStr">
        <is>
          <t>完工</t>
        </is>
      </c>
    </row>
    <row r="181">
      <c r="A181" s="4" t="n">
        <v>178</v>
      </c>
      <c r="B181" s="5" t="inlineStr">
        <is>
          <t>PJ-2026-0178</t>
        </is>
      </c>
      <c r="C181" s="6" t="inlineStr">
        <is>
          <t>解放路医院改扩建项目（二期）</t>
        </is>
      </c>
      <c r="D181" s="4" t="inlineStr">
        <is>
          <t>高明</t>
        </is>
      </c>
      <c r="E181" s="7" t="n">
        <v>4499</v>
      </c>
      <c r="F181" s="7" t="n">
        <v>3059.32</v>
      </c>
      <c r="G181" s="7">
        <f>E181-F181</f>
        <v/>
      </c>
      <c r="H181" s="8">
        <f>IFERROR(F181/E181,0)</f>
        <v/>
      </c>
      <c r="I181" s="4">
        <f>IF(H181&gt;=1,"超预算",IF(H181&gt;=0.9,"预警","正常"))</f>
        <v/>
      </c>
      <c r="J181" s="4">
        <f>RANK(F181,$F$4:$F$1203,0)</f>
        <v/>
      </c>
      <c r="K181" s="4" t="inlineStr">
        <is>
          <t>在建</t>
        </is>
      </c>
    </row>
    <row r="182">
      <c r="A182" s="4" t="n">
        <v>179</v>
      </c>
      <c r="B182" s="5" t="inlineStr">
        <is>
          <t>PJ-2026-0179</t>
        </is>
      </c>
      <c r="C182" s="6" t="inlineStr">
        <is>
          <t>和平街公交枢纽建设工程（三期）</t>
        </is>
      </c>
      <c r="D182" s="4" t="inlineStr">
        <is>
          <t>林桂</t>
        </is>
      </c>
      <c r="E182" s="7" t="n">
        <v>4636</v>
      </c>
      <c r="F182" s="7" t="n">
        <v>4496.92</v>
      </c>
      <c r="G182" s="7">
        <f>E182-F182</f>
        <v/>
      </c>
      <c r="H182" s="8">
        <f>IFERROR(F182/E182,0)</f>
        <v/>
      </c>
      <c r="I182" s="4">
        <f>IF(H182&gt;=1,"超预算",IF(H182&gt;=0.9,"预警","正常"))</f>
        <v/>
      </c>
      <c r="J182" s="4">
        <f>RANK(F182,$F$4:$F$1203,0)</f>
        <v/>
      </c>
      <c r="K182" s="4" t="inlineStr">
        <is>
          <t>待启动</t>
        </is>
      </c>
    </row>
    <row r="183">
      <c r="A183" s="4" t="n">
        <v>180</v>
      </c>
      <c r="B183" s="5" t="inlineStr">
        <is>
          <t>PJ-2026-0180</t>
        </is>
      </c>
      <c r="C183" s="6" t="inlineStr">
        <is>
          <t>光明街公共停车场建设工程（四期）</t>
        </is>
      </c>
      <c r="D183" s="4" t="inlineStr">
        <is>
          <t>罗丽</t>
        </is>
      </c>
      <c r="E183" s="7" t="n">
        <v>4773</v>
      </c>
      <c r="F183" s="7" t="n">
        <v>2672.88</v>
      </c>
      <c r="G183" s="7">
        <f>E183-F183</f>
        <v/>
      </c>
      <c r="H183" s="8">
        <f>IFERROR(F183/E183,0)</f>
        <v/>
      </c>
      <c r="I183" s="4">
        <f>IF(H183&gt;=1,"超预算",IF(H183&gt;=0.9,"预警","正常"))</f>
        <v/>
      </c>
      <c r="J183" s="4">
        <f>RANK(F183,$F$4:$F$1203,0)</f>
        <v/>
      </c>
      <c r="K183" s="4" t="inlineStr">
        <is>
          <t>完工</t>
        </is>
      </c>
    </row>
    <row r="184">
      <c r="A184" s="4" t="n">
        <v>181</v>
      </c>
      <c r="B184" s="5" t="inlineStr">
        <is>
          <t>PJ-2026-0181</t>
        </is>
      </c>
      <c r="C184" s="6" t="inlineStr">
        <is>
          <t>城东路道路改造工程</t>
        </is>
      </c>
      <c r="D184" s="4" t="inlineStr">
        <is>
          <t>张杰</t>
        </is>
      </c>
      <c r="E184" s="7" t="n">
        <v>4910</v>
      </c>
      <c r="F184" s="7" t="n">
        <v>4173.5</v>
      </c>
      <c r="G184" s="7">
        <f>E184-F184</f>
        <v/>
      </c>
      <c r="H184" s="8">
        <f>IFERROR(F184/E184,0)</f>
        <v/>
      </c>
      <c r="I184" s="4">
        <f>IF(H184&gt;=1,"超预算",IF(H184&gt;=0.9,"预警","正常"))</f>
        <v/>
      </c>
      <c r="J184" s="4">
        <f>RANK(F184,$F$4:$F$1203,0)</f>
        <v/>
      </c>
      <c r="K184" s="4" t="inlineStr">
        <is>
          <t>在建</t>
        </is>
      </c>
    </row>
    <row r="185">
      <c r="A185" s="4" t="n">
        <v>182</v>
      </c>
      <c r="B185" s="5" t="inlineStr">
        <is>
          <t>PJ-2026-0182</t>
        </is>
      </c>
      <c r="C185" s="6" t="inlineStr">
        <is>
          <t>解放路老旧小区改造项目（二期）</t>
        </is>
      </c>
      <c r="D185" s="4" t="inlineStr">
        <is>
          <t>王霞</t>
        </is>
      </c>
      <c r="E185" s="7" t="n">
        <v>97</v>
      </c>
      <c r="F185" s="7" t="n">
        <v>110.58</v>
      </c>
      <c r="G185" s="7">
        <f>E185-F185</f>
        <v/>
      </c>
      <c r="H185" s="8">
        <f>IFERROR(F185/E185,0)</f>
        <v/>
      </c>
      <c r="I185" s="4">
        <f>IF(H185&gt;=1,"超预算",IF(H185&gt;=0.9,"预警","正常"))</f>
        <v/>
      </c>
      <c r="J185" s="4">
        <f>RANK(F185,$F$4:$F$1203,0)</f>
        <v/>
      </c>
      <c r="K185" s="4" t="inlineStr">
        <is>
          <t>待启动</t>
        </is>
      </c>
    </row>
    <row r="186">
      <c r="A186" s="4" t="n">
        <v>183</v>
      </c>
      <c r="B186" s="5" t="inlineStr">
        <is>
          <t>PJ-2026-0183</t>
        </is>
      </c>
      <c r="C186" s="6" t="inlineStr">
        <is>
          <t>和平街智慧园区建设项目（三期）</t>
        </is>
      </c>
      <c r="D186" s="4" t="inlineStr">
        <is>
          <t>李娜</t>
        </is>
      </c>
      <c r="E186" s="7" t="n">
        <v>234</v>
      </c>
      <c r="F186" s="7" t="n">
        <v>170.82</v>
      </c>
      <c r="G186" s="7">
        <f>E186-F186</f>
        <v/>
      </c>
      <c r="H186" s="8">
        <f>IFERROR(F186/E186,0)</f>
        <v/>
      </c>
      <c r="I186" s="4">
        <f>IF(H186&gt;=1,"超预算",IF(H186&gt;=0.9,"预警","正常"))</f>
        <v/>
      </c>
      <c r="J186" s="4">
        <f>RANK(F186,$F$4:$F$1203,0)</f>
        <v/>
      </c>
      <c r="K186" s="4" t="inlineStr">
        <is>
          <t>完工</t>
        </is>
      </c>
    </row>
    <row r="187">
      <c r="A187" s="4" t="n">
        <v>184</v>
      </c>
      <c r="B187" s="5" t="inlineStr">
        <is>
          <t>PJ-2026-0184</t>
        </is>
      </c>
      <c r="C187" s="6" t="inlineStr">
        <is>
          <t>光明街污水处理扩容工程（四期）</t>
        </is>
      </c>
      <c r="D187" s="4" t="inlineStr">
        <is>
          <t>赵洋</t>
        </is>
      </c>
      <c r="E187" s="7" t="n">
        <v>371</v>
      </c>
      <c r="F187" s="7" t="n">
        <v>378.42</v>
      </c>
      <c r="G187" s="7">
        <f>E187-F187</f>
        <v/>
      </c>
      <c r="H187" s="8">
        <f>IFERROR(F187/E187,0)</f>
        <v/>
      </c>
      <c r="I187" s="4">
        <f>IF(H187&gt;=1,"超预算",IF(H187&gt;=0.9,"预警","正常"))</f>
        <v/>
      </c>
      <c r="J187" s="4">
        <f>RANK(F187,$F$4:$F$1203,0)</f>
        <v/>
      </c>
      <c r="K187" s="4" t="inlineStr">
        <is>
          <t>在建</t>
        </is>
      </c>
    </row>
    <row r="188">
      <c r="A188" s="4" t="n">
        <v>185</v>
      </c>
      <c r="B188" s="5" t="inlineStr">
        <is>
          <t>PJ-2026-0185</t>
        </is>
      </c>
      <c r="C188" s="6" t="inlineStr">
        <is>
          <t>城东路供水管网更新工程</t>
        </is>
      </c>
      <c r="D188" s="4" t="inlineStr">
        <is>
          <t>刘超</t>
        </is>
      </c>
      <c r="E188" s="7" t="n">
        <v>508</v>
      </c>
      <c r="F188" s="7" t="n">
        <v>309.88</v>
      </c>
      <c r="G188" s="7">
        <f>E188-F188</f>
        <v/>
      </c>
      <c r="H188" s="8">
        <f>IFERROR(F188/E188,0)</f>
        <v/>
      </c>
      <c r="I188" s="4">
        <f>IF(H188&gt;=1,"超预算",IF(H188&gt;=0.9,"预警","正常"))</f>
        <v/>
      </c>
      <c r="J188" s="4">
        <f>RANK(F188,$F$4:$F$1203,0)</f>
        <v/>
      </c>
      <c r="K188" s="4" t="inlineStr">
        <is>
          <t>待启动</t>
        </is>
      </c>
    </row>
    <row r="189">
      <c r="A189" s="4" t="n">
        <v>186</v>
      </c>
      <c r="B189" s="5" t="inlineStr">
        <is>
          <t>PJ-2026-0186</t>
        </is>
      </c>
      <c r="C189" s="6" t="inlineStr">
        <is>
          <t>解放路河道综合整治工程（二期）</t>
        </is>
      </c>
      <c r="D189" s="4" t="inlineStr">
        <is>
          <t>陈英</t>
        </is>
      </c>
      <c r="E189" s="7" t="n">
        <v>645</v>
      </c>
      <c r="F189" s="7" t="n">
        <v>580.5</v>
      </c>
      <c r="G189" s="7">
        <f>E189-F189</f>
        <v/>
      </c>
      <c r="H189" s="8">
        <f>IFERROR(F189/E189,0)</f>
        <v/>
      </c>
      <c r="I189" s="4">
        <f>IF(H189&gt;=1,"超预算",IF(H189&gt;=0.9,"预警","正常"))</f>
        <v/>
      </c>
      <c r="J189" s="4">
        <f>RANK(F189,$F$4:$F$1203,0)</f>
        <v/>
      </c>
      <c r="K189" s="4" t="inlineStr">
        <is>
          <t>完工</t>
        </is>
      </c>
    </row>
    <row r="190">
      <c r="A190" s="4" t="n">
        <v>187</v>
      </c>
      <c r="B190" s="5" t="inlineStr">
        <is>
          <t>PJ-2026-0187</t>
        </is>
      </c>
      <c r="C190" s="6" t="inlineStr">
        <is>
          <t>和平街学校新建工程（三期）</t>
        </is>
      </c>
      <c r="D190" s="4" t="inlineStr">
        <is>
          <t>杨强</t>
        </is>
      </c>
      <c r="E190" s="7" t="n">
        <v>782</v>
      </c>
      <c r="F190" s="7" t="n">
        <v>383.18</v>
      </c>
      <c r="G190" s="7">
        <f>E190-F190</f>
        <v/>
      </c>
      <c r="H190" s="8">
        <f>IFERROR(F190/E190,0)</f>
        <v/>
      </c>
      <c r="I190" s="4">
        <f>IF(H190&gt;=1,"超预算",IF(H190&gt;=0.9,"预警","正常"))</f>
        <v/>
      </c>
      <c r="J190" s="4">
        <f>RANK(F190,$F$4:$F$1203,0)</f>
        <v/>
      </c>
      <c r="K190" s="4" t="inlineStr">
        <is>
          <t>在建</t>
        </is>
      </c>
    </row>
    <row r="191">
      <c r="A191" s="4" t="n">
        <v>188</v>
      </c>
      <c r="B191" s="5" t="inlineStr">
        <is>
          <t>PJ-2026-0188</t>
        </is>
      </c>
      <c r="C191" s="6" t="inlineStr">
        <is>
          <t>光明街医院改扩建项目（四期）</t>
        </is>
      </c>
      <c r="D191" s="4" t="inlineStr">
        <is>
          <t>黄娟</t>
        </is>
      </c>
      <c r="E191" s="7" t="n">
        <v>919</v>
      </c>
      <c r="F191" s="7" t="n">
        <v>716.8200000000001</v>
      </c>
      <c r="G191" s="7">
        <f>E191-F191</f>
        <v/>
      </c>
      <c r="H191" s="8">
        <f>IFERROR(F191/E191,0)</f>
        <v/>
      </c>
      <c r="I191" s="4">
        <f>IF(H191&gt;=1,"超预算",IF(H191&gt;=0.9,"预警","正常"))</f>
        <v/>
      </c>
      <c r="J191" s="4">
        <f>RANK(F191,$F$4:$F$1203,0)</f>
        <v/>
      </c>
      <c r="K191" s="4" t="inlineStr">
        <is>
          <t>待启动</t>
        </is>
      </c>
    </row>
    <row r="192">
      <c r="A192" s="4" t="n">
        <v>189</v>
      </c>
      <c r="B192" s="5" t="inlineStr">
        <is>
          <t>PJ-2026-0189</t>
        </is>
      </c>
      <c r="C192" s="6" t="inlineStr">
        <is>
          <t>城东路公交枢纽建设工程</t>
        </is>
      </c>
      <c r="D192" s="4" t="inlineStr">
        <is>
          <t>周平</t>
        </is>
      </c>
      <c r="E192" s="7" t="n">
        <v>1056</v>
      </c>
      <c r="F192" s="7" t="n">
        <v>1129.92</v>
      </c>
      <c r="G192" s="7">
        <f>E192-F192</f>
        <v/>
      </c>
      <c r="H192" s="8">
        <f>IFERROR(F192/E192,0)</f>
        <v/>
      </c>
      <c r="I192" s="4">
        <f>IF(H192&gt;=1,"超预算",IF(H192&gt;=0.9,"预警","正常"))</f>
        <v/>
      </c>
      <c r="J192" s="4">
        <f>RANK(F192,$F$4:$F$1203,0)</f>
        <v/>
      </c>
      <c r="K192" s="4" t="inlineStr">
        <is>
          <t>完工</t>
        </is>
      </c>
    </row>
    <row r="193">
      <c r="A193" s="4" t="n">
        <v>190</v>
      </c>
      <c r="B193" s="5" t="inlineStr">
        <is>
          <t>PJ-2026-0190</t>
        </is>
      </c>
      <c r="C193" s="6" t="inlineStr">
        <is>
          <t>解放路公共停车场建设工程（二期）</t>
        </is>
      </c>
      <c r="D193" s="4" t="inlineStr">
        <is>
          <t>吴敏</t>
        </is>
      </c>
      <c r="E193" s="7" t="n">
        <v>1193</v>
      </c>
      <c r="F193" s="7" t="n">
        <v>787.38</v>
      </c>
      <c r="G193" s="7">
        <f>E193-F193</f>
        <v/>
      </c>
      <c r="H193" s="8">
        <f>IFERROR(F193/E193,0)</f>
        <v/>
      </c>
      <c r="I193" s="4">
        <f>IF(H193&gt;=1,"超预算",IF(H193&gt;=0.9,"预警","正常"))</f>
        <v/>
      </c>
      <c r="J193" s="4">
        <f>RANK(F193,$F$4:$F$1203,0)</f>
        <v/>
      </c>
      <c r="K193" s="4" t="inlineStr">
        <is>
          <t>在建</t>
        </is>
      </c>
    </row>
    <row r="194">
      <c r="A194" s="4" t="n">
        <v>191</v>
      </c>
      <c r="B194" s="5" t="inlineStr">
        <is>
          <t>PJ-2026-0191</t>
        </is>
      </c>
      <c r="C194" s="6" t="inlineStr">
        <is>
          <t>和平街道路改造工程（三期）</t>
        </is>
      </c>
      <c r="D194" s="4" t="inlineStr">
        <is>
          <t>徐勇</t>
        </is>
      </c>
      <c r="E194" s="7" t="n">
        <v>1330</v>
      </c>
      <c r="F194" s="7" t="n">
        <v>1263.5</v>
      </c>
      <c r="G194" s="7">
        <f>E194-F194</f>
        <v/>
      </c>
      <c r="H194" s="8">
        <f>IFERROR(F194/E194,0)</f>
        <v/>
      </c>
      <c r="I194" s="4">
        <f>IF(H194&gt;=1,"超预算",IF(H194&gt;=0.9,"预警","正常"))</f>
        <v/>
      </c>
      <c r="J194" s="4">
        <f>RANK(F194,$F$4:$F$1203,0)</f>
        <v/>
      </c>
      <c r="K194" s="4" t="inlineStr">
        <is>
          <t>待启动</t>
        </is>
      </c>
    </row>
    <row r="195">
      <c r="A195" s="4" t="n">
        <v>192</v>
      </c>
      <c r="B195" s="5" t="inlineStr">
        <is>
          <t>PJ-2026-0192</t>
        </is>
      </c>
      <c r="C195" s="6" t="inlineStr">
        <is>
          <t>光明街老旧小区改造项目（四期）</t>
        </is>
      </c>
      <c r="D195" s="4" t="inlineStr">
        <is>
          <t>孙秀</t>
        </is>
      </c>
      <c r="E195" s="7" t="n">
        <v>1467</v>
      </c>
      <c r="F195" s="7" t="n">
        <v>792.1799999999999</v>
      </c>
      <c r="G195" s="7">
        <f>E195-F195</f>
        <v/>
      </c>
      <c r="H195" s="8">
        <f>IFERROR(F195/E195,0)</f>
        <v/>
      </c>
      <c r="I195" s="4">
        <f>IF(H195&gt;=1,"超预算",IF(H195&gt;=0.9,"预警","正常"))</f>
        <v/>
      </c>
      <c r="J195" s="4">
        <f>RANK(F195,$F$4:$F$1203,0)</f>
        <v/>
      </c>
      <c r="K195" s="4" t="inlineStr">
        <is>
          <t>完工</t>
        </is>
      </c>
    </row>
    <row r="196">
      <c r="A196" s="4" t="n">
        <v>193</v>
      </c>
      <c r="B196" s="5" t="inlineStr">
        <is>
          <t>PJ-2026-0193</t>
        </is>
      </c>
      <c r="C196" s="6" t="inlineStr">
        <is>
          <t>城东路智慧园区建设项目</t>
        </is>
      </c>
      <c r="D196" s="4" t="inlineStr">
        <is>
          <t>马伟</t>
        </is>
      </c>
      <c r="E196" s="7" t="n">
        <v>1604</v>
      </c>
      <c r="F196" s="7" t="n">
        <v>1331.32</v>
      </c>
      <c r="G196" s="7">
        <f>E196-F196</f>
        <v/>
      </c>
      <c r="H196" s="8">
        <f>IFERROR(F196/E196,0)</f>
        <v/>
      </c>
      <c r="I196" s="4">
        <f>IF(H196&gt;=1,"超预算",IF(H196&gt;=0.9,"预警","正常"))</f>
        <v/>
      </c>
      <c r="J196" s="4">
        <f>RANK(F196,$F$4:$F$1203,0)</f>
        <v/>
      </c>
      <c r="K196" s="4" t="inlineStr">
        <is>
          <t>在建</t>
        </is>
      </c>
    </row>
    <row r="197">
      <c r="A197" s="4" t="n">
        <v>194</v>
      </c>
      <c r="B197" s="5" t="inlineStr">
        <is>
          <t>PJ-2026-0194</t>
        </is>
      </c>
      <c r="C197" s="6" t="inlineStr">
        <is>
          <t>解放路污水处理扩容工程（二期）</t>
        </is>
      </c>
      <c r="D197" s="4" t="inlineStr">
        <is>
          <t>朱磊</t>
        </is>
      </c>
      <c r="E197" s="7" t="n">
        <v>1741</v>
      </c>
      <c r="F197" s="7" t="n">
        <v>1949.92</v>
      </c>
      <c r="G197" s="7">
        <f>E197-F197</f>
        <v/>
      </c>
      <c r="H197" s="8">
        <f>IFERROR(F197/E197,0)</f>
        <v/>
      </c>
      <c r="I197" s="4">
        <f>IF(H197&gt;=1,"超预算",IF(H197&gt;=0.9,"预警","正常"))</f>
        <v/>
      </c>
      <c r="J197" s="4">
        <f>RANK(F197,$F$4:$F$1203,0)</f>
        <v/>
      </c>
      <c r="K197" s="4" t="inlineStr">
        <is>
          <t>待启动</t>
        </is>
      </c>
    </row>
    <row r="198">
      <c r="A198" s="4" t="n">
        <v>195</v>
      </c>
      <c r="B198" s="5" t="inlineStr">
        <is>
          <t>PJ-2026-0195</t>
        </is>
      </c>
      <c r="C198" s="6" t="inlineStr">
        <is>
          <t>和平街供水管网更新工程（三期）</t>
        </is>
      </c>
      <c r="D198" s="4" t="inlineStr">
        <is>
          <t>胡涛</t>
        </is>
      </c>
      <c r="E198" s="7" t="n">
        <v>1878</v>
      </c>
      <c r="F198" s="7" t="n">
        <v>1333.38</v>
      </c>
      <c r="G198" s="7">
        <f>E198-F198</f>
        <v/>
      </c>
      <c r="H198" s="8">
        <f>IFERROR(F198/E198,0)</f>
        <v/>
      </c>
      <c r="I198" s="4">
        <f>IF(H198&gt;=1,"超预算",IF(H198&gt;=0.9,"预警","正常"))</f>
        <v/>
      </c>
      <c r="J198" s="4">
        <f>RANK(F198,$F$4:$F$1203,0)</f>
        <v/>
      </c>
      <c r="K198" s="4" t="inlineStr">
        <is>
          <t>完工</t>
        </is>
      </c>
    </row>
    <row r="199">
      <c r="A199" s="4" t="n">
        <v>196</v>
      </c>
      <c r="B199" s="5" t="inlineStr">
        <is>
          <t>PJ-2026-0196</t>
        </is>
      </c>
      <c r="C199" s="6" t="inlineStr">
        <is>
          <t>光明街河道综合整治工程（四期）</t>
        </is>
      </c>
      <c r="D199" s="4" t="inlineStr">
        <is>
          <t>郭刚</t>
        </is>
      </c>
      <c r="E199" s="7" t="n">
        <v>2015</v>
      </c>
      <c r="F199" s="7" t="n">
        <v>2015</v>
      </c>
      <c r="G199" s="7">
        <f>E199-F199</f>
        <v/>
      </c>
      <c r="H199" s="8">
        <f>IFERROR(F199/E199,0)</f>
        <v/>
      </c>
      <c r="I199" s="4">
        <f>IF(H199&gt;=1,"超预算",IF(H199&gt;=0.9,"预警","正常"))</f>
        <v/>
      </c>
      <c r="J199" s="4">
        <f>RANK(F199,$F$4:$F$1203,0)</f>
        <v/>
      </c>
      <c r="K199" s="4" t="inlineStr">
        <is>
          <t>在建</t>
        </is>
      </c>
    </row>
    <row r="200">
      <c r="A200" s="4" t="n">
        <v>197</v>
      </c>
      <c r="B200" s="5" t="inlineStr">
        <is>
          <t>PJ-2026-0197</t>
        </is>
      </c>
      <c r="C200" s="6" t="inlineStr">
        <is>
          <t>城东路学校新建工程</t>
        </is>
      </c>
      <c r="D200" s="4" t="inlineStr">
        <is>
          <t>何静</t>
        </is>
      </c>
      <c r="E200" s="7" t="n">
        <v>2152</v>
      </c>
      <c r="F200" s="7" t="n">
        <v>1269.68</v>
      </c>
      <c r="G200" s="7">
        <f>E200-F200</f>
        <v/>
      </c>
      <c r="H200" s="8">
        <f>IFERROR(F200/E200,0)</f>
        <v/>
      </c>
      <c r="I200" s="4">
        <f>IF(H200&gt;=1,"超预算",IF(H200&gt;=0.9,"预警","正常"))</f>
        <v/>
      </c>
      <c r="J200" s="4">
        <f>RANK(F200,$F$4:$F$1203,0)</f>
        <v/>
      </c>
      <c r="K200" s="4" t="inlineStr">
        <is>
          <t>待启动</t>
        </is>
      </c>
    </row>
    <row r="201">
      <c r="A201" s="4" t="n">
        <v>198</v>
      </c>
      <c r="B201" s="5" t="inlineStr">
        <is>
          <t>PJ-2026-0198</t>
        </is>
      </c>
      <c r="C201" s="6" t="inlineStr">
        <is>
          <t>解放路医院改扩建项目（二期）</t>
        </is>
      </c>
      <c r="D201" s="4" t="inlineStr">
        <is>
          <t>高艳</t>
        </is>
      </c>
      <c r="E201" s="7" t="n">
        <v>2289</v>
      </c>
      <c r="F201" s="7" t="n">
        <v>2014.32</v>
      </c>
      <c r="G201" s="7">
        <f>E201-F201</f>
        <v/>
      </c>
      <c r="H201" s="8">
        <f>IFERROR(F201/E201,0)</f>
        <v/>
      </c>
      <c r="I201" s="4">
        <f>IF(H201&gt;=1,"超预算",IF(H201&gt;=0.9,"预警","正常"))</f>
        <v/>
      </c>
      <c r="J201" s="4">
        <f>RANK(F201,$F$4:$F$1203,0)</f>
        <v/>
      </c>
      <c r="K201" s="4" t="inlineStr">
        <is>
          <t>完工</t>
        </is>
      </c>
    </row>
    <row r="202">
      <c r="A202" s="4" t="n">
        <v>199</v>
      </c>
      <c r="B202" s="5" t="inlineStr">
        <is>
          <t>PJ-2026-0199</t>
        </is>
      </c>
      <c r="C202" s="6" t="inlineStr">
        <is>
          <t>和平街公交枢纽建设工程（三期）</t>
        </is>
      </c>
      <c r="D202" s="4" t="inlineStr">
        <is>
          <t>林英</t>
        </is>
      </c>
      <c r="E202" s="7" t="n">
        <v>2426</v>
      </c>
      <c r="F202" s="7" t="n">
        <v>1140.22</v>
      </c>
      <c r="G202" s="7">
        <f>E202-F202</f>
        <v/>
      </c>
      <c r="H202" s="8">
        <f>IFERROR(F202/E202,0)</f>
        <v/>
      </c>
      <c r="I202" s="4">
        <f>IF(H202&gt;=1,"超预算",IF(H202&gt;=0.9,"预警","正常"))</f>
        <v/>
      </c>
      <c r="J202" s="4">
        <f>RANK(F202,$F$4:$F$1203,0)</f>
        <v/>
      </c>
      <c r="K202" s="4" t="inlineStr">
        <is>
          <t>在建</t>
        </is>
      </c>
    </row>
    <row r="203">
      <c r="A203" s="4" t="n">
        <v>200</v>
      </c>
      <c r="B203" s="5" t="inlineStr">
        <is>
          <t>PJ-2026-0200</t>
        </is>
      </c>
      <c r="C203" s="6" t="inlineStr">
        <is>
          <t>光明街公共停车场建设工程（四期）</t>
        </is>
      </c>
      <c r="D203" s="4" t="inlineStr">
        <is>
          <t>罗芳</t>
        </is>
      </c>
      <c r="E203" s="7" t="n">
        <v>2563</v>
      </c>
      <c r="F203" s="7" t="n">
        <v>1947.88</v>
      </c>
      <c r="G203" s="7">
        <f>E203-F203</f>
        <v/>
      </c>
      <c r="H203" s="8">
        <f>IFERROR(F203/E203,0)</f>
        <v/>
      </c>
      <c r="I203" s="4">
        <f>IF(H203&gt;=1,"超预算",IF(H203&gt;=0.9,"预警","正常"))</f>
        <v/>
      </c>
      <c r="J203" s="4">
        <f>RANK(F203,$F$4:$F$1203,0)</f>
        <v/>
      </c>
      <c r="K203" s="4" t="inlineStr">
        <is>
          <t>待启动</t>
        </is>
      </c>
    </row>
    <row r="204">
      <c r="A204" s="4" t="n">
        <v>201</v>
      </c>
      <c r="B204" s="5" t="inlineStr">
        <is>
          <t>PJ-2026-0201</t>
        </is>
      </c>
      <c r="C204" s="6" t="inlineStr">
        <is>
          <t>城东路道路改造工程</t>
        </is>
      </c>
      <c r="D204" s="4" t="inlineStr">
        <is>
          <t>张军</t>
        </is>
      </c>
      <c r="E204" s="7" t="n">
        <v>2700</v>
      </c>
      <c r="F204" s="7" t="n">
        <v>2835</v>
      </c>
      <c r="G204" s="7">
        <f>E204-F204</f>
        <v/>
      </c>
      <c r="H204" s="8">
        <f>IFERROR(F204/E204,0)</f>
        <v/>
      </c>
      <c r="I204" s="4">
        <f>IF(H204&gt;=1,"超预算",IF(H204&gt;=0.9,"预警","正常"))</f>
        <v/>
      </c>
      <c r="J204" s="4">
        <f>RANK(F204,$F$4:$F$1203,0)</f>
        <v/>
      </c>
      <c r="K204" s="4" t="inlineStr">
        <is>
          <t>完工</t>
        </is>
      </c>
    </row>
    <row r="205">
      <c r="A205" s="4" t="n">
        <v>202</v>
      </c>
      <c r="B205" s="5" t="inlineStr">
        <is>
          <t>PJ-2026-0202</t>
        </is>
      </c>
      <c r="C205" s="6" t="inlineStr">
        <is>
          <t>解放路老旧小区改造项目（二期）</t>
        </is>
      </c>
      <c r="D205" s="4" t="inlineStr">
        <is>
          <t>王明</t>
        </is>
      </c>
      <c r="E205" s="7" t="n">
        <v>2837</v>
      </c>
      <c r="F205" s="7" t="n">
        <v>1815.68</v>
      </c>
      <c r="G205" s="7">
        <f>E205-F205</f>
        <v/>
      </c>
      <c r="H205" s="8">
        <f>IFERROR(F205/E205,0)</f>
        <v/>
      </c>
      <c r="I205" s="4">
        <f>IF(H205&gt;=1,"超预算",IF(H205&gt;=0.9,"预警","正常"))</f>
        <v/>
      </c>
      <c r="J205" s="4">
        <f>RANK(F205,$F$4:$F$1203,0)</f>
        <v/>
      </c>
      <c r="K205" s="4" t="inlineStr">
        <is>
          <t>在建</t>
        </is>
      </c>
    </row>
    <row r="206">
      <c r="A206" s="4" t="n">
        <v>203</v>
      </c>
      <c r="B206" s="5" t="inlineStr">
        <is>
          <t>PJ-2026-0203</t>
        </is>
      </c>
      <c r="C206" s="6" t="inlineStr">
        <is>
          <t>和平街智慧园区建设项目（三期）</t>
        </is>
      </c>
      <c r="D206" s="4" t="inlineStr">
        <is>
          <t>李桂</t>
        </is>
      </c>
      <c r="E206" s="7" t="n">
        <v>2974</v>
      </c>
      <c r="F206" s="7" t="n">
        <v>2765.82</v>
      </c>
      <c r="G206" s="7">
        <f>E206-F206</f>
        <v/>
      </c>
      <c r="H206" s="8">
        <f>IFERROR(F206/E206,0)</f>
        <v/>
      </c>
      <c r="I206" s="4">
        <f>IF(H206&gt;=1,"超预算",IF(H206&gt;=0.9,"预警","正常"))</f>
        <v/>
      </c>
      <c r="J206" s="4">
        <f>RANK(F206,$F$4:$F$1203,0)</f>
        <v/>
      </c>
      <c r="K206" s="4" t="inlineStr">
        <is>
          <t>待启动</t>
        </is>
      </c>
    </row>
    <row r="207">
      <c r="A207" s="4" t="n">
        <v>204</v>
      </c>
      <c r="B207" s="5" t="inlineStr">
        <is>
          <t>PJ-2026-0204</t>
        </is>
      </c>
      <c r="C207" s="6" t="inlineStr">
        <is>
          <t>光明街污水处理扩容工程（四期）</t>
        </is>
      </c>
      <c r="D207" s="4" t="inlineStr">
        <is>
          <t>赵丽</t>
        </is>
      </c>
      <c r="E207" s="7" t="n">
        <v>3111</v>
      </c>
      <c r="F207" s="7" t="n">
        <v>1617.72</v>
      </c>
      <c r="G207" s="7">
        <f>E207-F207</f>
        <v/>
      </c>
      <c r="H207" s="8">
        <f>IFERROR(F207/E207,0)</f>
        <v/>
      </c>
      <c r="I207" s="4">
        <f>IF(H207&gt;=1,"超预算",IF(H207&gt;=0.9,"预警","正常"))</f>
        <v/>
      </c>
      <c r="J207" s="4">
        <f>RANK(F207,$F$4:$F$1203,0)</f>
        <v/>
      </c>
      <c r="K207" s="4" t="inlineStr">
        <is>
          <t>完工</t>
        </is>
      </c>
    </row>
    <row r="208">
      <c r="A208" s="4" t="n">
        <v>205</v>
      </c>
      <c r="B208" s="5" t="inlineStr">
        <is>
          <t>PJ-2026-0205</t>
        </is>
      </c>
      <c r="C208" s="6" t="inlineStr">
        <is>
          <t>城东路供水管网更新工程</t>
        </is>
      </c>
      <c r="D208" s="4" t="inlineStr">
        <is>
          <t>刘杰</t>
        </is>
      </c>
      <c r="E208" s="7" t="n">
        <v>3248</v>
      </c>
      <c r="F208" s="7" t="n">
        <v>2630.88</v>
      </c>
      <c r="G208" s="7">
        <f>E208-F208</f>
        <v/>
      </c>
      <c r="H208" s="8">
        <f>IFERROR(F208/E208,0)</f>
        <v/>
      </c>
      <c r="I208" s="4">
        <f>IF(H208&gt;=1,"超预算",IF(H208&gt;=0.9,"预警","正常"))</f>
        <v/>
      </c>
      <c r="J208" s="4">
        <f>RANK(F208,$F$4:$F$1203,0)</f>
        <v/>
      </c>
      <c r="K208" s="4" t="inlineStr">
        <is>
          <t>在建</t>
        </is>
      </c>
    </row>
    <row r="209">
      <c r="A209" s="4" t="n">
        <v>206</v>
      </c>
      <c r="B209" s="5" t="inlineStr">
        <is>
          <t>PJ-2026-0206</t>
        </is>
      </c>
      <c r="C209" s="6" t="inlineStr">
        <is>
          <t>解放路河道综合整治工程（二期）</t>
        </is>
      </c>
      <c r="D209" s="4" t="inlineStr">
        <is>
          <t>陈霞</t>
        </is>
      </c>
      <c r="E209" s="7" t="n">
        <v>3385</v>
      </c>
      <c r="F209" s="7" t="n">
        <v>3723.5</v>
      </c>
      <c r="G209" s="7">
        <f>E209-F209</f>
        <v/>
      </c>
      <c r="H209" s="8">
        <f>IFERROR(F209/E209,0)</f>
        <v/>
      </c>
      <c r="I209" s="4">
        <f>IF(H209&gt;=1,"超预算",IF(H209&gt;=0.9,"预警","正常"))</f>
        <v/>
      </c>
      <c r="J209" s="4">
        <f>RANK(F209,$F$4:$F$1203,0)</f>
        <v/>
      </c>
      <c r="K209" s="4" t="inlineStr">
        <is>
          <t>待启动</t>
        </is>
      </c>
    </row>
    <row r="210">
      <c r="A210" s="4" t="n">
        <v>207</v>
      </c>
      <c r="B210" s="5" t="inlineStr">
        <is>
          <t>PJ-2026-0207</t>
        </is>
      </c>
      <c r="C210" s="6" t="inlineStr">
        <is>
          <t>和平街学校新建工程（三期）</t>
        </is>
      </c>
      <c r="D210" s="4" t="inlineStr">
        <is>
          <t>杨娜</t>
        </is>
      </c>
      <c r="E210" s="7" t="n">
        <v>3522</v>
      </c>
      <c r="F210" s="7" t="n">
        <v>2430.18</v>
      </c>
      <c r="G210" s="7">
        <f>E210-F210</f>
        <v/>
      </c>
      <c r="H210" s="8">
        <f>IFERROR(F210/E210,0)</f>
        <v/>
      </c>
      <c r="I210" s="4">
        <f>IF(H210&gt;=1,"超预算",IF(H210&gt;=0.9,"预警","正常"))</f>
        <v/>
      </c>
      <c r="J210" s="4">
        <f>RANK(F210,$F$4:$F$1203,0)</f>
        <v/>
      </c>
      <c r="K210" s="4" t="inlineStr">
        <is>
          <t>完工</t>
        </is>
      </c>
    </row>
    <row r="211">
      <c r="A211" s="4" t="n">
        <v>208</v>
      </c>
      <c r="B211" s="5" t="inlineStr">
        <is>
          <t>PJ-2026-0208</t>
        </is>
      </c>
      <c r="C211" s="6" t="inlineStr">
        <is>
          <t>光明街医院改扩建项目（四期）</t>
        </is>
      </c>
      <c r="D211" s="4" t="inlineStr">
        <is>
          <t>黄洋</t>
        </is>
      </c>
      <c r="E211" s="7" t="n">
        <v>3659</v>
      </c>
      <c r="F211" s="7" t="n">
        <v>3585.82</v>
      </c>
      <c r="G211" s="7">
        <f>E211-F211</f>
        <v/>
      </c>
      <c r="H211" s="8">
        <f>IFERROR(F211/E211,0)</f>
        <v/>
      </c>
      <c r="I211" s="4">
        <f>IF(H211&gt;=1,"超预算",IF(H211&gt;=0.9,"预警","正常"))</f>
        <v/>
      </c>
      <c r="J211" s="4">
        <f>RANK(F211,$F$4:$F$1203,0)</f>
        <v/>
      </c>
      <c r="K211" s="4" t="inlineStr">
        <is>
          <t>在建</t>
        </is>
      </c>
    </row>
    <row r="212">
      <c r="A212" s="4" t="n">
        <v>209</v>
      </c>
      <c r="B212" s="5" t="inlineStr">
        <is>
          <t>PJ-2026-0209</t>
        </is>
      </c>
      <c r="C212" s="6" t="inlineStr">
        <is>
          <t>城东路公交枢纽建设工程</t>
        </is>
      </c>
      <c r="D212" s="4" t="inlineStr">
        <is>
          <t>周超</t>
        </is>
      </c>
      <c r="E212" s="7" t="n">
        <v>3796</v>
      </c>
      <c r="F212" s="7" t="n">
        <v>2163.72</v>
      </c>
      <c r="G212" s="7">
        <f>E212-F212</f>
        <v/>
      </c>
      <c r="H212" s="8">
        <f>IFERROR(F212/E212,0)</f>
        <v/>
      </c>
      <c r="I212" s="4">
        <f>IF(H212&gt;=1,"超预算",IF(H212&gt;=0.9,"预警","正常"))</f>
        <v/>
      </c>
      <c r="J212" s="4">
        <f>RANK(F212,$F$4:$F$1203,0)</f>
        <v/>
      </c>
      <c r="K212" s="4" t="inlineStr">
        <is>
          <t>待启动</t>
        </is>
      </c>
    </row>
    <row r="213">
      <c r="A213" s="4" t="n">
        <v>210</v>
      </c>
      <c r="B213" s="5" t="inlineStr">
        <is>
          <t>PJ-2026-0210</t>
        </is>
      </c>
      <c r="C213" s="6" t="inlineStr">
        <is>
          <t>解放路公共停车场建设工程（二期）</t>
        </is>
      </c>
      <c r="D213" s="4" t="inlineStr">
        <is>
          <t>吴英</t>
        </is>
      </c>
      <c r="E213" s="7" t="n">
        <v>3933</v>
      </c>
      <c r="F213" s="7" t="n">
        <v>3382.38</v>
      </c>
      <c r="G213" s="7">
        <f>E213-F213</f>
        <v/>
      </c>
      <c r="H213" s="8">
        <f>IFERROR(F213/E213,0)</f>
        <v/>
      </c>
      <c r="I213" s="4">
        <f>IF(H213&gt;=1,"超预算",IF(H213&gt;=0.9,"预警","正常"))</f>
        <v/>
      </c>
      <c r="J213" s="4">
        <f>RANK(F213,$F$4:$F$1203,0)</f>
        <v/>
      </c>
      <c r="K213" s="4" t="inlineStr">
        <is>
          <t>完工</t>
        </is>
      </c>
    </row>
    <row r="214">
      <c r="A214" s="4" t="n">
        <v>211</v>
      </c>
      <c r="B214" s="5" t="inlineStr">
        <is>
          <t>PJ-2026-0211</t>
        </is>
      </c>
      <c r="C214" s="6" t="inlineStr">
        <is>
          <t>和平街道路改造工程（三期）</t>
        </is>
      </c>
      <c r="D214" s="4" t="inlineStr">
        <is>
          <t>徐强</t>
        </is>
      </c>
      <c r="E214" s="7" t="n">
        <v>4070</v>
      </c>
      <c r="F214" s="7" t="n">
        <v>1831.5</v>
      </c>
      <c r="G214" s="7">
        <f>E214-F214</f>
        <v/>
      </c>
      <c r="H214" s="8">
        <f>IFERROR(F214/E214,0)</f>
        <v/>
      </c>
      <c r="I214" s="4">
        <f>IF(H214&gt;=1,"超预算",IF(H214&gt;=0.9,"预警","正常"))</f>
        <v/>
      </c>
      <c r="J214" s="4">
        <f>RANK(F214,$F$4:$F$1203,0)</f>
        <v/>
      </c>
      <c r="K214" s="4" t="inlineStr">
        <is>
          <t>在建</t>
        </is>
      </c>
    </row>
    <row r="215">
      <c r="A215" s="4" t="n">
        <v>212</v>
      </c>
      <c r="B215" s="5" t="inlineStr">
        <is>
          <t>PJ-2026-0212</t>
        </is>
      </c>
      <c r="C215" s="6" t="inlineStr">
        <is>
          <t>光明街老旧小区改造项目（四期）</t>
        </is>
      </c>
      <c r="D215" s="4" t="inlineStr">
        <is>
          <t>孙娟</t>
        </is>
      </c>
      <c r="E215" s="7" t="n">
        <v>4207</v>
      </c>
      <c r="F215" s="7" t="n">
        <v>3113.18</v>
      </c>
      <c r="G215" s="7">
        <f>E215-F215</f>
        <v/>
      </c>
      <c r="H215" s="8">
        <f>IFERROR(F215/E215,0)</f>
        <v/>
      </c>
      <c r="I215" s="4">
        <f>IF(H215&gt;=1,"超预算",IF(H215&gt;=0.9,"预警","正常"))</f>
        <v/>
      </c>
      <c r="J215" s="4">
        <f>RANK(F215,$F$4:$F$1203,0)</f>
        <v/>
      </c>
      <c r="K215" s="4" t="inlineStr">
        <is>
          <t>待启动</t>
        </is>
      </c>
    </row>
    <row r="216">
      <c r="A216" s="4" t="n">
        <v>213</v>
      </c>
      <c r="B216" s="5" t="inlineStr">
        <is>
          <t>PJ-2026-0213</t>
        </is>
      </c>
      <c r="C216" s="6" t="inlineStr">
        <is>
          <t>城东路智慧园区建设项目</t>
        </is>
      </c>
      <c r="D216" s="4" t="inlineStr">
        <is>
          <t>马平</t>
        </is>
      </c>
      <c r="E216" s="7" t="n">
        <v>4344</v>
      </c>
      <c r="F216" s="7" t="n">
        <v>4474.32</v>
      </c>
      <c r="G216" s="7">
        <f>E216-F216</f>
        <v/>
      </c>
      <c r="H216" s="8">
        <f>IFERROR(F216/E216,0)</f>
        <v/>
      </c>
      <c r="I216" s="4">
        <f>IF(H216&gt;=1,"超预算",IF(H216&gt;=0.9,"预警","正常"))</f>
        <v/>
      </c>
      <c r="J216" s="4">
        <f>RANK(F216,$F$4:$F$1203,0)</f>
        <v/>
      </c>
      <c r="K216" s="4" t="inlineStr">
        <is>
          <t>完工</t>
        </is>
      </c>
    </row>
    <row r="217">
      <c r="A217" s="4" t="n">
        <v>214</v>
      </c>
      <c r="B217" s="5" t="inlineStr">
        <is>
          <t>PJ-2026-0214</t>
        </is>
      </c>
      <c r="C217" s="6" t="inlineStr">
        <is>
          <t>解放路污水处理扩容工程（二期）</t>
        </is>
      </c>
      <c r="D217" s="4" t="inlineStr">
        <is>
          <t>朱敏</t>
        </is>
      </c>
      <c r="E217" s="7" t="n">
        <v>4481</v>
      </c>
      <c r="F217" s="7" t="n">
        <v>2778.22</v>
      </c>
      <c r="G217" s="7">
        <f>E217-F217</f>
        <v/>
      </c>
      <c r="H217" s="8">
        <f>IFERROR(F217/E217,0)</f>
        <v/>
      </c>
      <c r="I217" s="4">
        <f>IF(H217&gt;=1,"超预算",IF(H217&gt;=0.9,"预警","正常"))</f>
        <v/>
      </c>
      <c r="J217" s="4">
        <f>RANK(F217,$F$4:$F$1203,0)</f>
        <v/>
      </c>
      <c r="K217" s="4" t="inlineStr">
        <is>
          <t>在建</t>
        </is>
      </c>
    </row>
    <row r="218">
      <c r="A218" s="4" t="n">
        <v>215</v>
      </c>
      <c r="B218" s="5" t="inlineStr">
        <is>
          <t>PJ-2026-0215</t>
        </is>
      </c>
      <c r="C218" s="6" t="inlineStr">
        <is>
          <t>和平街供水管网更新工程（三期）</t>
        </is>
      </c>
      <c r="D218" s="4" t="inlineStr">
        <is>
          <t>胡勇</t>
        </is>
      </c>
      <c r="E218" s="7" t="n">
        <v>4618</v>
      </c>
      <c r="F218" s="7" t="n">
        <v>4202.38</v>
      </c>
      <c r="G218" s="7">
        <f>E218-F218</f>
        <v/>
      </c>
      <c r="H218" s="8">
        <f>IFERROR(F218/E218,0)</f>
        <v/>
      </c>
      <c r="I218" s="4">
        <f>IF(H218&gt;=1,"超预算",IF(H218&gt;=0.9,"预警","正常"))</f>
        <v/>
      </c>
      <c r="J218" s="4">
        <f>RANK(F218,$F$4:$F$1203,0)</f>
        <v/>
      </c>
      <c r="K218" s="4" t="inlineStr">
        <is>
          <t>待启动</t>
        </is>
      </c>
    </row>
    <row r="219">
      <c r="A219" s="4" t="n">
        <v>216</v>
      </c>
      <c r="B219" s="5" t="inlineStr">
        <is>
          <t>PJ-2026-0216</t>
        </is>
      </c>
      <c r="C219" s="6" t="inlineStr">
        <is>
          <t>光明街河道综合整治工程（四期）</t>
        </is>
      </c>
      <c r="D219" s="4" t="inlineStr">
        <is>
          <t>郭秀</t>
        </is>
      </c>
      <c r="E219" s="7" t="n">
        <v>4755</v>
      </c>
      <c r="F219" s="7" t="n">
        <v>2377.5</v>
      </c>
      <c r="G219" s="7">
        <f>E219-F219</f>
        <v/>
      </c>
      <c r="H219" s="8">
        <f>IFERROR(F219/E219,0)</f>
        <v/>
      </c>
      <c r="I219" s="4">
        <f>IF(H219&gt;=1,"超预算",IF(H219&gt;=0.9,"预警","正常"))</f>
        <v/>
      </c>
      <c r="J219" s="4">
        <f>RANK(F219,$F$4:$F$1203,0)</f>
        <v/>
      </c>
      <c r="K219" s="4" t="inlineStr">
        <is>
          <t>完工</t>
        </is>
      </c>
    </row>
    <row r="220">
      <c r="A220" s="4" t="n">
        <v>217</v>
      </c>
      <c r="B220" s="5" t="inlineStr">
        <is>
          <t>PJ-2026-0217</t>
        </is>
      </c>
      <c r="C220" s="6" t="inlineStr">
        <is>
          <t>城东路学校新建工程</t>
        </is>
      </c>
      <c r="D220" s="4" t="inlineStr">
        <is>
          <t>何伟</t>
        </is>
      </c>
      <c r="E220" s="7" t="n">
        <v>4892</v>
      </c>
      <c r="F220" s="7" t="n">
        <v>3864.68</v>
      </c>
      <c r="G220" s="7">
        <f>E220-F220</f>
        <v/>
      </c>
      <c r="H220" s="8">
        <f>IFERROR(F220/E220,0)</f>
        <v/>
      </c>
      <c r="I220" s="4">
        <f>IF(H220&gt;=1,"超预算",IF(H220&gt;=0.9,"预警","正常"))</f>
        <v/>
      </c>
      <c r="J220" s="4">
        <f>RANK(F220,$F$4:$F$1203,0)</f>
        <v/>
      </c>
      <c r="K220" s="4" t="inlineStr">
        <is>
          <t>在建</t>
        </is>
      </c>
    </row>
    <row r="221">
      <c r="A221" s="4" t="n">
        <v>218</v>
      </c>
      <c r="B221" s="5" t="inlineStr">
        <is>
          <t>PJ-2026-0218</t>
        </is>
      </c>
      <c r="C221" s="6" t="inlineStr">
        <is>
          <t>解放路医院改扩建项目（二期）</t>
        </is>
      </c>
      <c r="D221" s="4" t="inlineStr">
        <is>
          <t>高磊</t>
        </is>
      </c>
      <c r="E221" s="7" t="n">
        <v>79</v>
      </c>
      <c r="F221" s="7" t="n">
        <v>85.31999999999999</v>
      </c>
      <c r="G221" s="7">
        <f>E221-F221</f>
        <v/>
      </c>
      <c r="H221" s="8">
        <f>IFERROR(F221/E221,0)</f>
        <v/>
      </c>
      <c r="I221" s="4">
        <f>IF(H221&gt;=1,"超预算",IF(H221&gt;=0.9,"预警","正常"))</f>
        <v/>
      </c>
      <c r="J221" s="4">
        <f>RANK(F221,$F$4:$F$1203,0)</f>
        <v/>
      </c>
      <c r="K221" s="4" t="inlineStr">
        <is>
          <t>待启动</t>
        </is>
      </c>
    </row>
    <row r="222">
      <c r="A222" s="4" t="n">
        <v>219</v>
      </c>
      <c r="B222" s="5" t="inlineStr">
        <is>
          <t>PJ-2026-0219</t>
        </is>
      </c>
      <c r="C222" s="6" t="inlineStr">
        <is>
          <t>和平街公交枢纽建设工程（三期）</t>
        </is>
      </c>
      <c r="D222" s="4" t="inlineStr">
        <is>
          <t>林涛</t>
        </is>
      </c>
      <c r="E222" s="7" t="n">
        <v>216</v>
      </c>
      <c r="F222" s="7" t="n">
        <v>144.72</v>
      </c>
      <c r="G222" s="7">
        <f>E222-F222</f>
        <v/>
      </c>
      <c r="H222" s="8">
        <f>IFERROR(F222/E222,0)</f>
        <v/>
      </c>
      <c r="I222" s="4">
        <f>IF(H222&gt;=1,"超预算",IF(H222&gt;=0.9,"预警","正常"))</f>
        <v/>
      </c>
      <c r="J222" s="4">
        <f>RANK(F222,$F$4:$F$1203,0)</f>
        <v/>
      </c>
      <c r="K222" s="4" t="inlineStr">
        <is>
          <t>完工</t>
        </is>
      </c>
    </row>
    <row r="223">
      <c r="A223" s="4" t="n">
        <v>220</v>
      </c>
      <c r="B223" s="5" t="inlineStr">
        <is>
          <t>PJ-2026-0220</t>
        </is>
      </c>
      <c r="C223" s="6" t="inlineStr">
        <is>
          <t>光明街公共停车场建设工程（四期）</t>
        </is>
      </c>
      <c r="D223" s="4" t="inlineStr">
        <is>
          <t>罗刚</t>
        </is>
      </c>
      <c r="E223" s="7" t="n">
        <v>353</v>
      </c>
      <c r="F223" s="7" t="n">
        <v>338.88</v>
      </c>
      <c r="G223" s="7">
        <f>E223-F223</f>
        <v/>
      </c>
      <c r="H223" s="8">
        <f>IFERROR(F223/E223,0)</f>
        <v/>
      </c>
      <c r="I223" s="4">
        <f>IF(H223&gt;=1,"超预算",IF(H223&gt;=0.9,"预警","正常"))</f>
        <v/>
      </c>
      <c r="J223" s="4">
        <f>RANK(F223,$F$4:$F$1203,0)</f>
        <v/>
      </c>
      <c r="K223" s="4" t="inlineStr">
        <is>
          <t>在建</t>
        </is>
      </c>
    </row>
    <row r="224">
      <c r="A224" s="4" t="n">
        <v>221</v>
      </c>
      <c r="B224" s="5" t="inlineStr">
        <is>
          <t>PJ-2026-0221</t>
        </is>
      </c>
      <c r="C224" s="6" t="inlineStr">
        <is>
          <t>城东路道路改造工程</t>
        </is>
      </c>
      <c r="D224" s="4" t="inlineStr">
        <is>
          <t>张静</t>
        </is>
      </c>
      <c r="E224" s="7" t="n">
        <v>490</v>
      </c>
      <c r="F224" s="7" t="n">
        <v>269.5</v>
      </c>
      <c r="G224" s="7">
        <f>E224-F224</f>
        <v/>
      </c>
      <c r="H224" s="8">
        <f>IFERROR(F224/E224,0)</f>
        <v/>
      </c>
      <c r="I224" s="4">
        <f>IF(H224&gt;=1,"超预算",IF(H224&gt;=0.9,"预警","正常"))</f>
        <v/>
      </c>
      <c r="J224" s="4">
        <f>RANK(F224,$F$4:$F$1203,0)</f>
        <v/>
      </c>
      <c r="K224" s="4" t="inlineStr">
        <is>
          <t>待启动</t>
        </is>
      </c>
    </row>
    <row r="225">
      <c r="A225" s="4" t="n">
        <v>222</v>
      </c>
      <c r="B225" s="5" t="inlineStr">
        <is>
          <t>PJ-2026-0222</t>
        </is>
      </c>
      <c r="C225" s="6" t="inlineStr">
        <is>
          <t>解放路老旧小区改造项目（二期）</t>
        </is>
      </c>
      <c r="D225" s="4" t="inlineStr">
        <is>
          <t>王艳</t>
        </is>
      </c>
      <c r="E225" s="7" t="n">
        <v>627</v>
      </c>
      <c r="F225" s="7" t="n">
        <v>526.6799999999999</v>
      </c>
      <c r="G225" s="7">
        <f>E225-F225</f>
        <v/>
      </c>
      <c r="H225" s="8">
        <f>IFERROR(F225/E225,0)</f>
        <v/>
      </c>
      <c r="I225" s="4">
        <f>IF(H225&gt;=1,"超预算",IF(H225&gt;=0.9,"预警","正常"))</f>
        <v/>
      </c>
      <c r="J225" s="4">
        <f>RANK(F225,$F$4:$F$1203,0)</f>
        <v/>
      </c>
      <c r="K225" s="4" t="inlineStr">
        <is>
          <t>完工</t>
        </is>
      </c>
    </row>
    <row r="226">
      <c r="A226" s="4" t="n">
        <v>223</v>
      </c>
      <c r="B226" s="5" t="inlineStr">
        <is>
          <t>PJ-2026-0223</t>
        </is>
      </c>
      <c r="C226" s="6" t="inlineStr">
        <is>
          <t>和平街智慧园区建设项目（三期）</t>
        </is>
      </c>
      <c r="D226" s="4" t="inlineStr">
        <is>
          <t>李英</t>
        </is>
      </c>
      <c r="E226" s="7" t="n">
        <v>764</v>
      </c>
      <c r="F226" s="7" t="n">
        <v>863.3200000000001</v>
      </c>
      <c r="G226" s="7">
        <f>E226-F226</f>
        <v/>
      </c>
      <c r="H226" s="8">
        <f>IFERROR(F226/E226,0)</f>
        <v/>
      </c>
      <c r="I226" s="4">
        <f>IF(H226&gt;=1,"超预算",IF(H226&gt;=0.9,"预警","正常"))</f>
        <v/>
      </c>
      <c r="J226" s="4">
        <f>RANK(F226,$F$4:$F$1203,0)</f>
        <v/>
      </c>
      <c r="K226" s="4" t="inlineStr">
        <is>
          <t>在建</t>
        </is>
      </c>
    </row>
    <row r="227">
      <c r="A227" s="4" t="n">
        <v>224</v>
      </c>
      <c r="B227" s="5" t="inlineStr">
        <is>
          <t>PJ-2026-0224</t>
        </is>
      </c>
      <c r="C227" s="6" t="inlineStr">
        <is>
          <t>光明街污水处理扩容工程（四期）</t>
        </is>
      </c>
      <c r="D227" s="4" t="inlineStr">
        <is>
          <t>赵芳</t>
        </is>
      </c>
      <c r="E227" s="7" t="n">
        <v>901</v>
      </c>
      <c r="F227" s="7" t="n">
        <v>648.72</v>
      </c>
      <c r="G227" s="7">
        <f>E227-F227</f>
        <v/>
      </c>
      <c r="H227" s="8">
        <f>IFERROR(F227/E227,0)</f>
        <v/>
      </c>
      <c r="I227" s="4">
        <f>IF(H227&gt;=1,"超预算",IF(H227&gt;=0.9,"预警","正常"))</f>
        <v/>
      </c>
      <c r="J227" s="4">
        <f>RANK(F227,$F$4:$F$1203,0)</f>
        <v/>
      </c>
      <c r="K227" s="4" t="inlineStr">
        <is>
          <t>待启动</t>
        </is>
      </c>
    </row>
    <row r="228">
      <c r="A228" s="4" t="n">
        <v>225</v>
      </c>
      <c r="B228" s="5" t="inlineStr">
        <is>
          <t>PJ-2026-0225</t>
        </is>
      </c>
      <c r="C228" s="6" t="inlineStr">
        <is>
          <t>城东路供水管网更新工程</t>
        </is>
      </c>
      <c r="D228" s="4" t="inlineStr">
        <is>
          <t>刘军</t>
        </is>
      </c>
      <c r="E228" s="7" t="n">
        <v>1038</v>
      </c>
      <c r="F228" s="7" t="n">
        <v>1048.38</v>
      </c>
      <c r="G228" s="7">
        <f>E228-F228</f>
        <v/>
      </c>
      <c r="H228" s="8">
        <f>IFERROR(F228/E228,0)</f>
        <v/>
      </c>
      <c r="I228" s="4">
        <f>IF(H228&gt;=1,"超预算",IF(H228&gt;=0.9,"预警","正常"))</f>
        <v/>
      </c>
      <c r="J228" s="4">
        <f>RANK(F228,$F$4:$F$1203,0)</f>
        <v/>
      </c>
      <c r="K228" s="4" t="inlineStr">
        <is>
          <t>完工</t>
        </is>
      </c>
    </row>
    <row r="229">
      <c r="A229" s="4" t="n">
        <v>226</v>
      </c>
      <c r="B229" s="5" t="inlineStr">
        <is>
          <t>PJ-2026-0226</t>
        </is>
      </c>
      <c r="C229" s="6" t="inlineStr">
        <is>
          <t>解放路河道综合整治工程（二期）</t>
        </is>
      </c>
      <c r="D229" s="4" t="inlineStr">
        <is>
          <t>陈明</t>
        </is>
      </c>
      <c r="E229" s="7" t="n">
        <v>1175</v>
      </c>
      <c r="F229" s="7" t="n">
        <v>705</v>
      </c>
      <c r="G229" s="7">
        <f>E229-F229</f>
        <v/>
      </c>
      <c r="H229" s="8">
        <f>IFERROR(F229/E229,0)</f>
        <v/>
      </c>
      <c r="I229" s="4">
        <f>IF(H229&gt;=1,"超预算",IF(H229&gt;=0.9,"预警","正常"))</f>
        <v/>
      </c>
      <c r="J229" s="4">
        <f>RANK(F229,$F$4:$F$1203,0)</f>
        <v/>
      </c>
      <c r="K229" s="4" t="inlineStr">
        <is>
          <t>在建</t>
        </is>
      </c>
    </row>
    <row r="230">
      <c r="A230" s="4" t="n">
        <v>227</v>
      </c>
      <c r="B230" s="5" t="inlineStr">
        <is>
          <t>PJ-2026-0227</t>
        </is>
      </c>
      <c r="C230" s="6" t="inlineStr">
        <is>
          <t>和平街学校新建工程（三期）</t>
        </is>
      </c>
      <c r="D230" s="4" t="inlineStr">
        <is>
          <t>杨桂</t>
        </is>
      </c>
      <c r="E230" s="7" t="n">
        <v>1312</v>
      </c>
      <c r="F230" s="7" t="n">
        <v>1167.68</v>
      </c>
      <c r="G230" s="7">
        <f>E230-F230</f>
        <v/>
      </c>
      <c r="H230" s="8">
        <f>IFERROR(F230/E230,0)</f>
        <v/>
      </c>
      <c r="I230" s="4">
        <f>IF(H230&gt;=1,"超预算",IF(H230&gt;=0.9,"预警","正常"))</f>
        <v/>
      </c>
      <c r="J230" s="4">
        <f>RANK(F230,$F$4:$F$1203,0)</f>
        <v/>
      </c>
      <c r="K230" s="4" t="inlineStr">
        <is>
          <t>待启动</t>
        </is>
      </c>
    </row>
    <row r="231">
      <c r="A231" s="4" t="n">
        <v>228</v>
      </c>
      <c r="B231" s="5" t="inlineStr">
        <is>
          <t>PJ-2026-0228</t>
        </is>
      </c>
      <c r="C231" s="6" t="inlineStr">
        <is>
          <t>光明街医院改扩建项目（四期）</t>
        </is>
      </c>
      <c r="D231" s="4" t="inlineStr">
        <is>
          <t>黄丽</t>
        </is>
      </c>
      <c r="E231" s="7" t="n">
        <v>1449</v>
      </c>
      <c r="F231" s="7" t="n">
        <v>695.52</v>
      </c>
      <c r="G231" s="7">
        <f>E231-F231</f>
        <v/>
      </c>
      <c r="H231" s="8">
        <f>IFERROR(F231/E231,0)</f>
        <v/>
      </c>
      <c r="I231" s="4">
        <f>IF(H231&gt;=1,"超预算",IF(H231&gt;=0.9,"预警","正常"))</f>
        <v/>
      </c>
      <c r="J231" s="4">
        <f>RANK(F231,$F$4:$F$1203,0)</f>
        <v/>
      </c>
      <c r="K231" s="4" t="inlineStr">
        <is>
          <t>完工</t>
        </is>
      </c>
    </row>
    <row r="232">
      <c r="A232" s="4" t="n">
        <v>229</v>
      </c>
      <c r="B232" s="5" t="inlineStr">
        <is>
          <t>PJ-2026-0229</t>
        </is>
      </c>
      <c r="C232" s="6" t="inlineStr">
        <is>
          <t>城东路公交枢纽建设工程</t>
        </is>
      </c>
      <c r="D232" s="4" t="inlineStr">
        <is>
          <t>周杰</t>
        </is>
      </c>
      <c r="E232" s="7" t="n">
        <v>1586</v>
      </c>
      <c r="F232" s="7" t="n">
        <v>1221.22</v>
      </c>
      <c r="G232" s="7">
        <f>E232-F232</f>
        <v/>
      </c>
      <c r="H232" s="8">
        <f>IFERROR(F232/E232,0)</f>
        <v/>
      </c>
      <c r="I232" s="4">
        <f>IF(H232&gt;=1,"超预算",IF(H232&gt;=0.9,"预警","正常"))</f>
        <v/>
      </c>
      <c r="J232" s="4">
        <f>RANK(F232,$F$4:$F$1203,0)</f>
        <v/>
      </c>
      <c r="K232" s="4" t="inlineStr">
        <is>
          <t>在建</t>
        </is>
      </c>
    </row>
    <row r="233">
      <c r="A233" s="4" t="n">
        <v>230</v>
      </c>
      <c r="B233" s="5" t="inlineStr">
        <is>
          <t>PJ-2026-0230</t>
        </is>
      </c>
      <c r="C233" s="6" t="inlineStr">
        <is>
          <t>解放路公共停车场建设工程（二期）</t>
        </is>
      </c>
      <c r="D233" s="4" t="inlineStr">
        <is>
          <t>吴霞</t>
        </is>
      </c>
      <c r="E233" s="7" t="n">
        <v>1723</v>
      </c>
      <c r="F233" s="7" t="n">
        <v>1826.38</v>
      </c>
      <c r="G233" s="7">
        <f>E233-F233</f>
        <v/>
      </c>
      <c r="H233" s="8">
        <f>IFERROR(F233/E233,0)</f>
        <v/>
      </c>
      <c r="I233" s="4">
        <f>IF(H233&gt;=1,"超预算",IF(H233&gt;=0.9,"预警","正常"))</f>
        <v/>
      </c>
      <c r="J233" s="4">
        <f>RANK(F233,$F$4:$F$1203,0)</f>
        <v/>
      </c>
      <c r="K233" s="4" t="inlineStr">
        <is>
          <t>待启动</t>
        </is>
      </c>
    </row>
    <row r="234">
      <c r="A234" s="4" t="n">
        <v>231</v>
      </c>
      <c r="B234" s="5" t="inlineStr">
        <is>
          <t>PJ-2026-0231</t>
        </is>
      </c>
      <c r="C234" s="6" t="inlineStr">
        <is>
          <t>和平街道路改造工程（三期）</t>
        </is>
      </c>
      <c r="D234" s="4" t="inlineStr">
        <is>
          <t>徐娜</t>
        </is>
      </c>
      <c r="E234" s="7" t="n">
        <v>1860</v>
      </c>
      <c r="F234" s="7" t="n">
        <v>1209</v>
      </c>
      <c r="G234" s="7">
        <f>E234-F234</f>
        <v/>
      </c>
      <c r="H234" s="8">
        <f>IFERROR(F234/E234,0)</f>
        <v/>
      </c>
      <c r="I234" s="4">
        <f>IF(H234&gt;=1,"超预算",IF(H234&gt;=0.9,"预警","正常"))</f>
        <v/>
      </c>
      <c r="J234" s="4">
        <f>RANK(F234,$F$4:$F$1203,0)</f>
        <v/>
      </c>
      <c r="K234" s="4" t="inlineStr">
        <is>
          <t>完工</t>
        </is>
      </c>
    </row>
    <row r="235">
      <c r="A235" s="4" t="n">
        <v>232</v>
      </c>
      <c r="B235" s="5" t="inlineStr">
        <is>
          <t>PJ-2026-0232</t>
        </is>
      </c>
      <c r="C235" s="6" t="inlineStr">
        <is>
          <t>光明街老旧小区改造项目（四期）</t>
        </is>
      </c>
      <c r="D235" s="4" t="inlineStr">
        <is>
          <t>孙洋</t>
        </is>
      </c>
      <c r="E235" s="7" t="n">
        <v>1997</v>
      </c>
      <c r="F235" s="7" t="n">
        <v>1877.18</v>
      </c>
      <c r="G235" s="7">
        <f>E235-F235</f>
        <v/>
      </c>
      <c r="H235" s="8">
        <f>IFERROR(F235/E235,0)</f>
        <v/>
      </c>
      <c r="I235" s="4">
        <f>IF(H235&gt;=1,"超预算",IF(H235&gt;=0.9,"预警","正常"))</f>
        <v/>
      </c>
      <c r="J235" s="4">
        <f>RANK(F235,$F$4:$F$1203,0)</f>
        <v/>
      </c>
      <c r="K235" s="4" t="inlineStr">
        <is>
          <t>在建</t>
        </is>
      </c>
    </row>
    <row r="236">
      <c r="A236" s="4" t="n">
        <v>233</v>
      </c>
      <c r="B236" s="5" t="inlineStr">
        <is>
          <t>PJ-2026-0233</t>
        </is>
      </c>
      <c r="C236" s="6" t="inlineStr">
        <is>
          <t>城东路智慧园区建设项目</t>
        </is>
      </c>
      <c r="D236" s="4" t="inlineStr">
        <is>
          <t>马超</t>
        </is>
      </c>
      <c r="E236" s="7" t="n">
        <v>2134</v>
      </c>
      <c r="F236" s="7" t="n">
        <v>1131.02</v>
      </c>
      <c r="G236" s="7">
        <f>E236-F236</f>
        <v/>
      </c>
      <c r="H236" s="8">
        <f>IFERROR(F236/E236,0)</f>
        <v/>
      </c>
      <c r="I236" s="4">
        <f>IF(H236&gt;=1,"超预算",IF(H236&gt;=0.9,"预警","正常"))</f>
        <v/>
      </c>
      <c r="J236" s="4">
        <f>RANK(F236,$F$4:$F$1203,0)</f>
        <v/>
      </c>
      <c r="K236" s="4" t="inlineStr">
        <is>
          <t>待启动</t>
        </is>
      </c>
    </row>
    <row r="237">
      <c r="A237" s="4" t="n">
        <v>234</v>
      </c>
      <c r="B237" s="5" t="inlineStr">
        <is>
          <t>PJ-2026-0234</t>
        </is>
      </c>
      <c r="C237" s="6" t="inlineStr">
        <is>
          <t>解放路污水处理扩容工程（二期）</t>
        </is>
      </c>
      <c r="D237" s="4" t="inlineStr">
        <is>
          <t>朱英</t>
        </is>
      </c>
      <c r="E237" s="7" t="n">
        <v>2271</v>
      </c>
      <c r="F237" s="7" t="n">
        <v>1862.22</v>
      </c>
      <c r="G237" s="7">
        <f>E237-F237</f>
        <v/>
      </c>
      <c r="H237" s="8">
        <f>IFERROR(F237/E237,0)</f>
        <v/>
      </c>
      <c r="I237" s="4">
        <f>IF(H237&gt;=1,"超预算",IF(H237&gt;=0.9,"预警","正常"))</f>
        <v/>
      </c>
      <c r="J237" s="4">
        <f>RANK(F237,$F$4:$F$1203,0)</f>
        <v/>
      </c>
      <c r="K237" s="4" t="inlineStr">
        <is>
          <t>完工</t>
        </is>
      </c>
    </row>
    <row r="238">
      <c r="A238" s="4" t="n">
        <v>235</v>
      </c>
      <c r="B238" s="5" t="inlineStr">
        <is>
          <t>PJ-2026-0235</t>
        </is>
      </c>
      <c r="C238" s="6" t="inlineStr">
        <is>
          <t>和平街供水管网更新工程（三期）</t>
        </is>
      </c>
      <c r="D238" s="4" t="inlineStr">
        <is>
          <t>胡强</t>
        </is>
      </c>
      <c r="E238" s="7" t="n">
        <v>2408</v>
      </c>
      <c r="F238" s="7" t="n">
        <v>2672.88</v>
      </c>
      <c r="G238" s="7">
        <f>E238-F238</f>
        <v/>
      </c>
      <c r="H238" s="8">
        <f>IFERROR(F238/E238,0)</f>
        <v/>
      </c>
      <c r="I238" s="4">
        <f>IF(H238&gt;=1,"超预算",IF(H238&gt;=0.9,"预警","正常"))</f>
        <v/>
      </c>
      <c r="J238" s="4">
        <f>RANK(F238,$F$4:$F$1203,0)</f>
        <v/>
      </c>
      <c r="K238" s="4" t="inlineStr">
        <is>
          <t>在建</t>
        </is>
      </c>
    </row>
    <row r="239">
      <c r="A239" s="4" t="n">
        <v>236</v>
      </c>
      <c r="B239" s="5" t="inlineStr">
        <is>
          <t>PJ-2026-0236</t>
        </is>
      </c>
      <c r="C239" s="6" t="inlineStr">
        <is>
          <t>光明街河道综合整治工程（四期）</t>
        </is>
      </c>
      <c r="D239" s="4" t="inlineStr">
        <is>
          <t>郭娟</t>
        </is>
      </c>
      <c r="E239" s="7" t="n">
        <v>2545</v>
      </c>
      <c r="F239" s="7" t="n">
        <v>1781.5</v>
      </c>
      <c r="G239" s="7">
        <f>E239-F239</f>
        <v/>
      </c>
      <c r="H239" s="8">
        <f>IFERROR(F239/E239,0)</f>
        <v/>
      </c>
      <c r="I239" s="4">
        <f>IF(H239&gt;=1,"超预算",IF(H239&gt;=0.9,"预警","正常"))</f>
        <v/>
      </c>
      <c r="J239" s="4">
        <f>RANK(F239,$F$4:$F$1203,0)</f>
        <v/>
      </c>
      <c r="K239" s="4" t="inlineStr">
        <is>
          <t>待启动</t>
        </is>
      </c>
    </row>
    <row r="240">
      <c r="A240" s="4" t="n">
        <v>237</v>
      </c>
      <c r="B240" s="5" t="inlineStr">
        <is>
          <t>PJ-2026-0237</t>
        </is>
      </c>
      <c r="C240" s="6" t="inlineStr">
        <is>
          <t>城东路学校新建工程</t>
        </is>
      </c>
      <c r="D240" s="4" t="inlineStr">
        <is>
          <t>何平</t>
        </is>
      </c>
      <c r="E240" s="7" t="n">
        <v>2682</v>
      </c>
      <c r="F240" s="7" t="n">
        <v>2655.18</v>
      </c>
      <c r="G240" s="7">
        <f>E240-F240</f>
        <v/>
      </c>
      <c r="H240" s="8">
        <f>IFERROR(F240/E240,0)</f>
        <v/>
      </c>
      <c r="I240" s="4">
        <f>IF(H240&gt;=1,"超预算",IF(H240&gt;=0.9,"预警","正常"))</f>
        <v/>
      </c>
      <c r="J240" s="4">
        <f>RANK(F240,$F$4:$F$1203,0)</f>
        <v/>
      </c>
      <c r="K240" s="4" t="inlineStr">
        <is>
          <t>完工</t>
        </is>
      </c>
    </row>
    <row r="241">
      <c r="A241" s="4" t="n">
        <v>238</v>
      </c>
      <c r="B241" s="5" t="inlineStr">
        <is>
          <t>PJ-2026-0238</t>
        </is>
      </c>
      <c r="C241" s="6" t="inlineStr">
        <is>
          <t>解放路医院改扩建项目（二期）</t>
        </is>
      </c>
      <c r="D241" s="4" t="inlineStr">
        <is>
          <t>高敏</t>
        </is>
      </c>
      <c r="E241" s="7" t="n">
        <v>2819</v>
      </c>
      <c r="F241" s="7" t="n">
        <v>1635.02</v>
      </c>
      <c r="G241" s="7">
        <f>E241-F241</f>
        <v/>
      </c>
      <c r="H241" s="8">
        <f>IFERROR(F241/E241,0)</f>
        <v/>
      </c>
      <c r="I241" s="4">
        <f>IF(H241&gt;=1,"超预算",IF(H241&gt;=0.9,"预警","正常"))</f>
        <v/>
      </c>
      <c r="J241" s="4">
        <f>RANK(F241,$F$4:$F$1203,0)</f>
        <v/>
      </c>
      <c r="K241" s="4" t="inlineStr">
        <is>
          <t>在建</t>
        </is>
      </c>
    </row>
    <row r="242">
      <c r="A242" s="4" t="n">
        <v>239</v>
      </c>
      <c r="B242" s="5" t="inlineStr">
        <is>
          <t>PJ-2026-0239</t>
        </is>
      </c>
      <c r="C242" s="6" t="inlineStr">
        <is>
          <t>和平街公交枢纽建设工程（三期）</t>
        </is>
      </c>
      <c r="D242" s="4" t="inlineStr">
        <is>
          <t>林勇</t>
        </is>
      </c>
      <c r="E242" s="7" t="n">
        <v>2956</v>
      </c>
      <c r="F242" s="7" t="n">
        <v>2571.72</v>
      </c>
      <c r="G242" s="7">
        <f>E242-F242</f>
        <v/>
      </c>
      <c r="H242" s="8">
        <f>IFERROR(F242/E242,0)</f>
        <v/>
      </c>
      <c r="I242" s="4">
        <f>IF(H242&gt;=1,"超预算",IF(H242&gt;=0.9,"预警","正常"))</f>
        <v/>
      </c>
      <c r="J242" s="4">
        <f>RANK(F242,$F$4:$F$1203,0)</f>
        <v/>
      </c>
      <c r="K242" s="4" t="inlineStr">
        <is>
          <t>待启动</t>
        </is>
      </c>
    </row>
    <row r="243">
      <c r="A243" s="4" t="n">
        <v>240</v>
      </c>
      <c r="B243" s="5" t="inlineStr">
        <is>
          <t>PJ-2026-0240</t>
        </is>
      </c>
      <c r="C243" s="6" t="inlineStr">
        <is>
          <t>光明街公共停车场建设工程（四期）</t>
        </is>
      </c>
      <c r="D243" s="4" t="inlineStr">
        <is>
          <t>罗秀</t>
        </is>
      </c>
      <c r="E243" s="7" t="n">
        <v>3093</v>
      </c>
      <c r="F243" s="7" t="n">
        <v>1422.78</v>
      </c>
      <c r="G243" s="7">
        <f>E243-F243</f>
        <v/>
      </c>
      <c r="H243" s="8">
        <f>IFERROR(F243/E243,0)</f>
        <v/>
      </c>
      <c r="I243" s="4">
        <f>IF(H243&gt;=1,"超预算",IF(H243&gt;=0.9,"预警","正常"))</f>
        <v/>
      </c>
      <c r="J243" s="4">
        <f>RANK(F243,$F$4:$F$1203,0)</f>
        <v/>
      </c>
      <c r="K243" s="4" t="inlineStr">
        <is>
          <t>完工</t>
        </is>
      </c>
    </row>
    <row r="244">
      <c r="A244" s="4" t="n">
        <v>241</v>
      </c>
      <c r="B244" s="5" t="inlineStr">
        <is>
          <t>PJ-2026-0241</t>
        </is>
      </c>
      <c r="C244" s="6" t="inlineStr">
        <is>
          <t>城东路道路改造工程</t>
        </is>
      </c>
      <c r="D244" s="4" t="inlineStr">
        <is>
          <t>张伟</t>
        </is>
      </c>
      <c r="E244" s="7" t="n">
        <v>3230</v>
      </c>
      <c r="F244" s="7" t="n">
        <v>2422.5</v>
      </c>
      <c r="G244" s="7">
        <f>E244-F244</f>
        <v/>
      </c>
      <c r="H244" s="8">
        <f>IFERROR(F244/E244,0)</f>
        <v/>
      </c>
      <c r="I244" s="4">
        <f>IF(H244&gt;=1,"超预算",IF(H244&gt;=0.9,"预警","正常"))</f>
        <v/>
      </c>
      <c r="J244" s="4">
        <f>RANK(F244,$F$4:$F$1203,0)</f>
        <v/>
      </c>
      <c r="K244" s="4" t="inlineStr">
        <is>
          <t>在建</t>
        </is>
      </c>
    </row>
    <row r="245">
      <c r="A245" s="4" t="n">
        <v>242</v>
      </c>
      <c r="B245" s="5" t="inlineStr">
        <is>
          <t>PJ-2026-0242</t>
        </is>
      </c>
      <c r="C245" s="6" t="inlineStr">
        <is>
          <t>解放路老旧小区改造项目（二期）</t>
        </is>
      </c>
      <c r="D245" s="4" t="inlineStr">
        <is>
          <t>王磊</t>
        </is>
      </c>
      <c r="E245" s="7" t="n">
        <v>3367</v>
      </c>
      <c r="F245" s="7" t="n">
        <v>3501.68</v>
      </c>
      <c r="G245" s="7">
        <f>E245-F245</f>
        <v/>
      </c>
      <c r="H245" s="8">
        <f>IFERROR(F245/E245,0)</f>
        <v/>
      </c>
      <c r="I245" s="4">
        <f>IF(H245&gt;=1,"超预算",IF(H245&gt;=0.9,"预警","正常"))</f>
        <v/>
      </c>
      <c r="J245" s="4">
        <f>RANK(F245,$F$4:$F$1203,0)</f>
        <v/>
      </c>
      <c r="K245" s="4" t="inlineStr">
        <is>
          <t>待启动</t>
        </is>
      </c>
    </row>
    <row r="246">
      <c r="A246" s="4" t="n">
        <v>243</v>
      </c>
      <c r="B246" s="5" t="inlineStr">
        <is>
          <t>PJ-2026-0243</t>
        </is>
      </c>
      <c r="C246" s="6" t="inlineStr">
        <is>
          <t>和平街智慧园区建设项目（三期）</t>
        </is>
      </c>
      <c r="D246" s="4" t="inlineStr">
        <is>
          <t>李涛</t>
        </is>
      </c>
      <c r="E246" s="7" t="n">
        <v>3504</v>
      </c>
      <c r="F246" s="7" t="n">
        <v>2207.52</v>
      </c>
      <c r="G246" s="7">
        <f>E246-F246</f>
        <v/>
      </c>
      <c r="H246" s="8">
        <f>IFERROR(F246/E246,0)</f>
        <v/>
      </c>
      <c r="I246" s="4">
        <f>IF(H246&gt;=1,"超预算",IF(H246&gt;=0.9,"预警","正常"))</f>
        <v/>
      </c>
      <c r="J246" s="4">
        <f>RANK(F246,$F$4:$F$1203,0)</f>
        <v/>
      </c>
      <c r="K246" s="4" t="inlineStr">
        <is>
          <t>完工</t>
        </is>
      </c>
    </row>
    <row r="247">
      <c r="A247" s="4" t="n">
        <v>244</v>
      </c>
      <c r="B247" s="5" t="inlineStr">
        <is>
          <t>PJ-2026-0244</t>
        </is>
      </c>
      <c r="C247" s="6" t="inlineStr">
        <is>
          <t>光明街污水处理扩容工程（四期）</t>
        </is>
      </c>
      <c r="D247" s="4" t="inlineStr">
        <is>
          <t>赵刚</t>
        </is>
      </c>
      <c r="E247" s="7" t="n">
        <v>3641</v>
      </c>
      <c r="F247" s="7" t="n">
        <v>3349.72</v>
      </c>
      <c r="G247" s="7">
        <f>E247-F247</f>
        <v/>
      </c>
      <c r="H247" s="8">
        <f>IFERROR(F247/E247,0)</f>
        <v/>
      </c>
      <c r="I247" s="4">
        <f>IF(H247&gt;=1,"超预算",IF(H247&gt;=0.9,"预警","正常"))</f>
        <v/>
      </c>
      <c r="J247" s="4">
        <f>RANK(F247,$F$4:$F$1203,0)</f>
        <v/>
      </c>
      <c r="K247" s="4" t="inlineStr">
        <is>
          <t>在建</t>
        </is>
      </c>
    </row>
    <row r="248">
      <c r="A248" s="4" t="n">
        <v>245</v>
      </c>
      <c r="B248" s="5" t="inlineStr">
        <is>
          <t>PJ-2026-0245</t>
        </is>
      </c>
      <c r="C248" s="6" t="inlineStr">
        <is>
          <t>城东路供水管网更新工程</t>
        </is>
      </c>
      <c r="D248" s="4" t="inlineStr">
        <is>
          <t>刘静</t>
        </is>
      </c>
      <c r="E248" s="7" t="n">
        <v>3778</v>
      </c>
      <c r="F248" s="7" t="n">
        <v>1926.78</v>
      </c>
      <c r="G248" s="7">
        <f>E248-F248</f>
        <v/>
      </c>
      <c r="H248" s="8">
        <f>IFERROR(F248/E248,0)</f>
        <v/>
      </c>
      <c r="I248" s="4">
        <f>IF(H248&gt;=1,"超预算",IF(H248&gt;=0.9,"预警","正常"))</f>
        <v/>
      </c>
      <c r="J248" s="4">
        <f>RANK(F248,$F$4:$F$1203,0)</f>
        <v/>
      </c>
      <c r="K248" s="4" t="inlineStr">
        <is>
          <t>待启动</t>
        </is>
      </c>
    </row>
    <row r="249">
      <c r="A249" s="4" t="n">
        <v>246</v>
      </c>
      <c r="B249" s="5" t="inlineStr">
        <is>
          <t>PJ-2026-0246</t>
        </is>
      </c>
      <c r="C249" s="6" t="inlineStr">
        <is>
          <t>解放路河道综合整治工程（二期）</t>
        </is>
      </c>
      <c r="D249" s="4" t="inlineStr">
        <is>
          <t>陈艳</t>
        </is>
      </c>
      <c r="E249" s="7" t="n">
        <v>3915</v>
      </c>
      <c r="F249" s="7" t="n">
        <v>3132</v>
      </c>
      <c r="G249" s="7">
        <f>E249-F249</f>
        <v/>
      </c>
      <c r="H249" s="8">
        <f>IFERROR(F249/E249,0)</f>
        <v/>
      </c>
      <c r="I249" s="4">
        <f>IF(H249&gt;=1,"超预算",IF(H249&gt;=0.9,"预警","正常"))</f>
        <v/>
      </c>
      <c r="J249" s="4">
        <f>RANK(F249,$F$4:$F$1203,0)</f>
        <v/>
      </c>
      <c r="K249" s="4" t="inlineStr">
        <is>
          <t>完工</t>
        </is>
      </c>
    </row>
    <row r="250">
      <c r="A250" s="4" t="n">
        <v>247</v>
      </c>
      <c r="B250" s="5" t="inlineStr">
        <is>
          <t>PJ-2026-0247</t>
        </is>
      </c>
      <c r="C250" s="6" t="inlineStr">
        <is>
          <t>和平街学校新建工程（三期）</t>
        </is>
      </c>
      <c r="D250" s="4" t="inlineStr">
        <is>
          <t>杨英</t>
        </is>
      </c>
      <c r="E250" s="7" t="n">
        <v>4052</v>
      </c>
      <c r="F250" s="7" t="n">
        <v>4416.68</v>
      </c>
      <c r="G250" s="7">
        <f>E250-F250</f>
        <v/>
      </c>
      <c r="H250" s="8">
        <f>IFERROR(F250/E250,0)</f>
        <v/>
      </c>
      <c r="I250" s="4">
        <f>IF(H250&gt;=1,"超预算",IF(H250&gt;=0.9,"预警","正常"))</f>
        <v/>
      </c>
      <c r="J250" s="4">
        <f>RANK(F250,$F$4:$F$1203,0)</f>
        <v/>
      </c>
      <c r="K250" s="4" t="inlineStr">
        <is>
          <t>在建</t>
        </is>
      </c>
    </row>
    <row r="251">
      <c r="A251" s="4" t="n">
        <v>248</v>
      </c>
      <c r="B251" s="5" t="inlineStr">
        <is>
          <t>PJ-2026-0248</t>
        </is>
      </c>
      <c r="C251" s="6" t="inlineStr">
        <is>
          <t>光明街医院改扩建项目（四期）</t>
        </is>
      </c>
      <c r="D251" s="4" t="inlineStr">
        <is>
          <t>黄芳</t>
        </is>
      </c>
      <c r="E251" s="7" t="n">
        <v>4189</v>
      </c>
      <c r="F251" s="7" t="n">
        <v>2848.52</v>
      </c>
      <c r="G251" s="7">
        <f>E251-F251</f>
        <v/>
      </c>
      <c r="H251" s="8">
        <f>IFERROR(F251/E251,0)</f>
        <v/>
      </c>
      <c r="I251" s="4">
        <f>IF(H251&gt;=1,"超预算",IF(H251&gt;=0.9,"预警","正常"))</f>
        <v/>
      </c>
      <c r="J251" s="4">
        <f>RANK(F251,$F$4:$F$1203,0)</f>
        <v/>
      </c>
      <c r="K251" s="4" t="inlineStr">
        <is>
          <t>待启动</t>
        </is>
      </c>
    </row>
    <row r="252">
      <c r="A252" s="4" t="n">
        <v>249</v>
      </c>
      <c r="B252" s="5" t="inlineStr">
        <is>
          <t>PJ-2026-0249</t>
        </is>
      </c>
      <c r="C252" s="6" t="inlineStr">
        <is>
          <t>城东路公交枢纽建设工程</t>
        </is>
      </c>
      <c r="D252" s="4" t="inlineStr">
        <is>
          <t>周军</t>
        </is>
      </c>
      <c r="E252" s="7" t="n">
        <v>4326</v>
      </c>
      <c r="F252" s="7" t="n">
        <v>4196.22</v>
      </c>
      <c r="G252" s="7">
        <f>E252-F252</f>
        <v/>
      </c>
      <c r="H252" s="8">
        <f>IFERROR(F252/E252,0)</f>
        <v/>
      </c>
      <c r="I252" s="4">
        <f>IF(H252&gt;=1,"超预算",IF(H252&gt;=0.9,"预警","正常"))</f>
        <v/>
      </c>
      <c r="J252" s="4">
        <f>RANK(F252,$F$4:$F$1203,0)</f>
        <v/>
      </c>
      <c r="K252" s="4" t="inlineStr">
        <is>
          <t>完工</t>
        </is>
      </c>
    </row>
    <row r="253">
      <c r="A253" s="4" t="n">
        <v>250</v>
      </c>
      <c r="B253" s="5" t="inlineStr">
        <is>
          <t>PJ-2026-0250</t>
        </is>
      </c>
      <c r="C253" s="6" t="inlineStr">
        <is>
          <t>解放路公共停车场建设工程（二期）</t>
        </is>
      </c>
      <c r="D253" s="4" t="inlineStr">
        <is>
          <t>吴明</t>
        </is>
      </c>
      <c r="E253" s="7" t="n">
        <v>4463</v>
      </c>
      <c r="F253" s="7" t="n">
        <v>2499.28</v>
      </c>
      <c r="G253" s="7">
        <f>E253-F253</f>
        <v/>
      </c>
      <c r="H253" s="8">
        <f>IFERROR(F253/E253,0)</f>
        <v/>
      </c>
      <c r="I253" s="4">
        <f>IF(H253&gt;=1,"超预算",IF(H253&gt;=0.9,"预警","正常"))</f>
        <v/>
      </c>
      <c r="J253" s="4">
        <f>RANK(F253,$F$4:$F$1203,0)</f>
        <v/>
      </c>
      <c r="K253" s="4" t="inlineStr">
        <is>
          <t>在建</t>
        </is>
      </c>
    </row>
    <row r="254">
      <c r="A254" s="4" t="n">
        <v>251</v>
      </c>
      <c r="B254" s="5" t="inlineStr">
        <is>
          <t>PJ-2026-0251</t>
        </is>
      </c>
      <c r="C254" s="6" t="inlineStr">
        <is>
          <t>和平街道路改造工程（三期）</t>
        </is>
      </c>
      <c r="D254" s="4" t="inlineStr">
        <is>
          <t>徐桂</t>
        </is>
      </c>
      <c r="E254" s="7" t="n">
        <v>4600</v>
      </c>
      <c r="F254" s="7" t="n">
        <v>3910</v>
      </c>
      <c r="G254" s="7">
        <f>E254-F254</f>
        <v/>
      </c>
      <c r="H254" s="8">
        <f>IFERROR(F254/E254,0)</f>
        <v/>
      </c>
      <c r="I254" s="4">
        <f>IF(H254&gt;=1,"超预算",IF(H254&gt;=0.9,"预警","正常"))</f>
        <v/>
      </c>
      <c r="J254" s="4">
        <f>RANK(F254,$F$4:$F$1203,0)</f>
        <v/>
      </c>
      <c r="K254" s="4" t="inlineStr">
        <is>
          <t>待启动</t>
        </is>
      </c>
    </row>
    <row r="255">
      <c r="A255" s="4" t="n">
        <v>252</v>
      </c>
      <c r="B255" s="5" t="inlineStr">
        <is>
          <t>PJ-2026-0252</t>
        </is>
      </c>
      <c r="C255" s="6" t="inlineStr">
        <is>
          <t>光明街老旧小区改造项目（四期）</t>
        </is>
      </c>
      <c r="D255" s="4" t="inlineStr">
        <is>
          <t>孙丽</t>
        </is>
      </c>
      <c r="E255" s="7" t="n">
        <v>4737</v>
      </c>
      <c r="F255" s="7" t="n">
        <v>5400.18</v>
      </c>
      <c r="G255" s="7">
        <f>E255-F255</f>
        <v/>
      </c>
      <c r="H255" s="8">
        <f>IFERROR(F255/E255,0)</f>
        <v/>
      </c>
      <c r="I255" s="4">
        <f>IF(H255&gt;=1,"超预算",IF(H255&gt;=0.9,"预警","正常"))</f>
        <v/>
      </c>
      <c r="J255" s="4">
        <f>RANK(F255,$F$4:$F$1203,0)</f>
        <v/>
      </c>
      <c r="K255" s="4" t="inlineStr">
        <is>
          <t>完工</t>
        </is>
      </c>
    </row>
    <row r="256">
      <c r="A256" s="4" t="n">
        <v>253</v>
      </c>
      <c r="B256" s="5" t="inlineStr">
        <is>
          <t>PJ-2026-0253</t>
        </is>
      </c>
      <c r="C256" s="6" t="inlineStr">
        <is>
          <t>城东路智慧园区建设项目</t>
        </is>
      </c>
      <c r="D256" s="4" t="inlineStr">
        <is>
          <t>马杰</t>
        </is>
      </c>
      <c r="E256" s="7" t="n">
        <v>4874</v>
      </c>
      <c r="F256" s="7" t="n">
        <v>3558.02</v>
      </c>
      <c r="G256" s="7">
        <f>E256-F256</f>
        <v/>
      </c>
      <c r="H256" s="8">
        <f>IFERROR(F256/E256,0)</f>
        <v/>
      </c>
      <c r="I256" s="4">
        <f>IF(H256&gt;=1,"超预算",IF(H256&gt;=0.9,"预警","正常"))</f>
        <v/>
      </c>
      <c r="J256" s="4">
        <f>RANK(F256,$F$4:$F$1203,0)</f>
        <v/>
      </c>
      <c r="K256" s="4" t="inlineStr">
        <is>
          <t>在建</t>
        </is>
      </c>
    </row>
    <row r="257">
      <c r="A257" s="4" t="n">
        <v>254</v>
      </c>
      <c r="B257" s="5" t="inlineStr">
        <is>
          <t>PJ-2026-0254</t>
        </is>
      </c>
      <c r="C257" s="6" t="inlineStr">
        <is>
          <t>解放路污水处理扩容工程（二期）</t>
        </is>
      </c>
      <c r="D257" s="4" t="inlineStr">
        <is>
          <t>朱霞</t>
        </is>
      </c>
      <c r="E257" s="7" t="n">
        <v>61</v>
      </c>
      <c r="F257" s="7" t="n">
        <v>62.22</v>
      </c>
      <c r="G257" s="7">
        <f>E257-F257</f>
        <v/>
      </c>
      <c r="H257" s="8">
        <f>IFERROR(F257/E257,0)</f>
        <v/>
      </c>
      <c r="I257" s="4">
        <f>IF(H257&gt;=1,"超预算",IF(H257&gt;=0.9,"预警","正常"))</f>
        <v/>
      </c>
      <c r="J257" s="4">
        <f>RANK(F257,$F$4:$F$1203,0)</f>
        <v/>
      </c>
      <c r="K257" s="4" t="inlineStr">
        <is>
          <t>待启动</t>
        </is>
      </c>
    </row>
    <row r="258">
      <c r="A258" s="4" t="n">
        <v>255</v>
      </c>
      <c r="B258" s="5" t="inlineStr">
        <is>
          <t>PJ-2026-0255</t>
        </is>
      </c>
      <c r="C258" s="6" t="inlineStr">
        <is>
          <t>和平街供水管网更新工程（三期）</t>
        </is>
      </c>
      <c r="D258" s="4" t="inlineStr">
        <is>
          <t>胡娜</t>
        </is>
      </c>
      <c r="E258" s="7" t="n">
        <v>198</v>
      </c>
      <c r="F258" s="7" t="n">
        <v>120.78</v>
      </c>
      <c r="G258" s="7">
        <f>E258-F258</f>
        <v/>
      </c>
      <c r="H258" s="8">
        <f>IFERROR(F258/E258,0)</f>
        <v/>
      </c>
      <c r="I258" s="4">
        <f>IF(H258&gt;=1,"超预算",IF(H258&gt;=0.9,"预警","正常"))</f>
        <v/>
      </c>
      <c r="J258" s="4">
        <f>RANK(F258,$F$4:$F$1203,0)</f>
        <v/>
      </c>
      <c r="K258" s="4" t="inlineStr">
        <is>
          <t>完工</t>
        </is>
      </c>
    </row>
    <row r="259">
      <c r="A259" s="4" t="n">
        <v>256</v>
      </c>
      <c r="B259" s="5" t="inlineStr">
        <is>
          <t>PJ-2026-0256</t>
        </is>
      </c>
      <c r="C259" s="6" t="inlineStr">
        <is>
          <t>光明街河道综合整治工程（四期）</t>
        </is>
      </c>
      <c r="D259" s="4" t="inlineStr">
        <is>
          <t>郭洋</t>
        </is>
      </c>
      <c r="E259" s="7" t="n">
        <v>335</v>
      </c>
      <c r="F259" s="7" t="n">
        <v>301.5</v>
      </c>
      <c r="G259" s="7">
        <f>E259-F259</f>
        <v/>
      </c>
      <c r="H259" s="8">
        <f>IFERROR(F259/E259,0)</f>
        <v/>
      </c>
      <c r="I259" s="4">
        <f>IF(H259&gt;=1,"超预算",IF(H259&gt;=0.9,"预警","正常"))</f>
        <v/>
      </c>
      <c r="J259" s="4">
        <f>RANK(F259,$F$4:$F$1203,0)</f>
        <v/>
      </c>
      <c r="K259" s="4" t="inlineStr">
        <is>
          <t>在建</t>
        </is>
      </c>
    </row>
    <row r="260">
      <c r="A260" s="4" t="n">
        <v>257</v>
      </c>
      <c r="B260" s="5" t="inlineStr">
        <is>
          <t>PJ-2026-0257</t>
        </is>
      </c>
      <c r="C260" s="6" t="inlineStr">
        <is>
          <t>城东路学校新建工程</t>
        </is>
      </c>
      <c r="D260" s="4" t="inlineStr">
        <is>
          <t>何超</t>
        </is>
      </c>
      <c r="E260" s="7" t="n">
        <v>472</v>
      </c>
      <c r="F260" s="7" t="n">
        <v>231.28</v>
      </c>
      <c r="G260" s="7">
        <f>E260-F260</f>
        <v/>
      </c>
      <c r="H260" s="8">
        <f>IFERROR(F260/E260,0)</f>
        <v/>
      </c>
      <c r="I260" s="4">
        <f>IF(H260&gt;=1,"超预算",IF(H260&gt;=0.9,"预警","正常"))</f>
        <v/>
      </c>
      <c r="J260" s="4">
        <f>RANK(F260,$F$4:$F$1203,0)</f>
        <v/>
      </c>
      <c r="K260" s="4" t="inlineStr">
        <is>
          <t>待启动</t>
        </is>
      </c>
    </row>
    <row r="261">
      <c r="A261" s="4" t="n">
        <v>258</v>
      </c>
      <c r="B261" s="5" t="inlineStr">
        <is>
          <t>PJ-2026-0258</t>
        </is>
      </c>
      <c r="C261" s="6" t="inlineStr">
        <is>
          <t>解放路医院改扩建项目（二期）</t>
        </is>
      </c>
      <c r="D261" s="4" t="inlineStr">
        <is>
          <t>高英</t>
        </is>
      </c>
      <c r="E261" s="7" t="n">
        <v>609</v>
      </c>
      <c r="F261" s="7" t="n">
        <v>475.02</v>
      </c>
      <c r="G261" s="7">
        <f>E261-F261</f>
        <v/>
      </c>
      <c r="H261" s="8">
        <f>IFERROR(F261/E261,0)</f>
        <v/>
      </c>
      <c r="I261" s="4">
        <f>IF(H261&gt;=1,"超预算",IF(H261&gt;=0.9,"预警","正常"))</f>
        <v/>
      </c>
      <c r="J261" s="4">
        <f>RANK(F261,$F$4:$F$1203,0)</f>
        <v/>
      </c>
      <c r="K261" s="4" t="inlineStr">
        <is>
          <t>完工</t>
        </is>
      </c>
    </row>
    <row r="262">
      <c r="A262" s="4" t="n">
        <v>259</v>
      </c>
      <c r="B262" s="5" t="inlineStr">
        <is>
          <t>PJ-2026-0259</t>
        </is>
      </c>
      <c r="C262" s="6" t="inlineStr">
        <is>
          <t>和平街公交枢纽建设工程（三期）</t>
        </is>
      </c>
      <c r="D262" s="4" t="inlineStr">
        <is>
          <t>林强</t>
        </is>
      </c>
      <c r="E262" s="7" t="n">
        <v>746</v>
      </c>
      <c r="F262" s="7" t="n">
        <v>798.22</v>
      </c>
      <c r="G262" s="7">
        <f>E262-F262</f>
        <v/>
      </c>
      <c r="H262" s="8">
        <f>IFERROR(F262/E262,0)</f>
        <v/>
      </c>
      <c r="I262" s="4">
        <f>IF(H262&gt;=1,"超预算",IF(H262&gt;=0.9,"预警","正常"))</f>
        <v/>
      </c>
      <c r="J262" s="4">
        <f>RANK(F262,$F$4:$F$1203,0)</f>
        <v/>
      </c>
      <c r="K262" s="4" t="inlineStr">
        <is>
          <t>在建</t>
        </is>
      </c>
    </row>
    <row r="263">
      <c r="A263" s="4" t="n">
        <v>260</v>
      </c>
      <c r="B263" s="5" t="inlineStr">
        <is>
          <t>PJ-2026-0260</t>
        </is>
      </c>
      <c r="C263" s="6" t="inlineStr">
        <is>
          <t>光明街公共停车场建设工程（四期）</t>
        </is>
      </c>
      <c r="D263" s="4" t="inlineStr">
        <is>
          <t>罗娟</t>
        </is>
      </c>
      <c r="E263" s="7" t="n">
        <v>883</v>
      </c>
      <c r="F263" s="7" t="n">
        <v>582.78</v>
      </c>
      <c r="G263" s="7">
        <f>E263-F263</f>
        <v/>
      </c>
      <c r="H263" s="8">
        <f>IFERROR(F263/E263,0)</f>
        <v/>
      </c>
      <c r="I263" s="4">
        <f>IF(H263&gt;=1,"超预算",IF(H263&gt;=0.9,"预警","正常"))</f>
        <v/>
      </c>
      <c r="J263" s="4">
        <f>RANK(F263,$F$4:$F$1203,0)</f>
        <v/>
      </c>
      <c r="K263" s="4" t="inlineStr">
        <is>
          <t>待启动</t>
        </is>
      </c>
    </row>
    <row r="264">
      <c r="A264" s="4" t="n">
        <v>261</v>
      </c>
      <c r="B264" s="5" t="inlineStr">
        <is>
          <t>PJ-2026-0261</t>
        </is>
      </c>
      <c r="C264" s="6" t="inlineStr">
        <is>
          <t>城东路道路改造工程</t>
        </is>
      </c>
      <c r="D264" s="4" t="inlineStr">
        <is>
          <t>张平</t>
        </is>
      </c>
      <c r="E264" s="7" t="n">
        <v>1020</v>
      </c>
      <c r="F264" s="7" t="n">
        <v>969</v>
      </c>
      <c r="G264" s="7">
        <f>E264-F264</f>
        <v/>
      </c>
      <c r="H264" s="8">
        <f>IFERROR(F264/E264,0)</f>
        <v/>
      </c>
      <c r="I264" s="4">
        <f>IF(H264&gt;=1,"超预算",IF(H264&gt;=0.9,"预警","正常"))</f>
        <v/>
      </c>
      <c r="J264" s="4">
        <f>RANK(F264,$F$4:$F$1203,0)</f>
        <v/>
      </c>
      <c r="K264" s="4" t="inlineStr">
        <is>
          <t>完工</t>
        </is>
      </c>
    </row>
    <row r="265">
      <c r="A265" s="4" t="n">
        <v>262</v>
      </c>
      <c r="B265" s="5" t="inlineStr">
        <is>
          <t>PJ-2026-0262</t>
        </is>
      </c>
      <c r="C265" s="6" t="inlineStr">
        <is>
          <t>解放路老旧小区改造项目（二期）</t>
        </is>
      </c>
      <c r="D265" s="4" t="inlineStr">
        <is>
          <t>王敏</t>
        </is>
      </c>
      <c r="E265" s="7" t="n">
        <v>1157</v>
      </c>
      <c r="F265" s="7" t="n">
        <v>624.78</v>
      </c>
      <c r="G265" s="7">
        <f>E265-F265</f>
        <v/>
      </c>
      <c r="H265" s="8">
        <f>IFERROR(F265/E265,0)</f>
        <v/>
      </c>
      <c r="I265" s="4">
        <f>IF(H265&gt;=1,"超预算",IF(H265&gt;=0.9,"预警","正常"))</f>
        <v/>
      </c>
      <c r="J265" s="4">
        <f>RANK(F265,$F$4:$F$1203,0)</f>
        <v/>
      </c>
      <c r="K265" s="4" t="inlineStr">
        <is>
          <t>在建</t>
        </is>
      </c>
    </row>
    <row r="266">
      <c r="A266" s="4" t="n">
        <v>263</v>
      </c>
      <c r="B266" s="5" t="inlineStr">
        <is>
          <t>PJ-2026-0263</t>
        </is>
      </c>
      <c r="C266" s="6" t="inlineStr">
        <is>
          <t>和平街智慧园区建设项目（三期）</t>
        </is>
      </c>
      <c r="D266" s="4" t="inlineStr">
        <is>
          <t>李勇</t>
        </is>
      </c>
      <c r="E266" s="7" t="n">
        <v>1294</v>
      </c>
      <c r="F266" s="7" t="n">
        <v>1074.02</v>
      </c>
      <c r="G266" s="7">
        <f>E266-F266</f>
        <v/>
      </c>
      <c r="H266" s="8">
        <f>IFERROR(F266/E266,0)</f>
        <v/>
      </c>
      <c r="I266" s="4">
        <f>IF(H266&gt;=1,"超预算",IF(H266&gt;=0.9,"预警","正常"))</f>
        <v/>
      </c>
      <c r="J266" s="4">
        <f>RANK(F266,$F$4:$F$1203,0)</f>
        <v/>
      </c>
      <c r="K266" s="4" t="inlineStr">
        <is>
          <t>待启动</t>
        </is>
      </c>
    </row>
    <row r="267">
      <c r="A267" s="4" t="n">
        <v>264</v>
      </c>
      <c r="B267" s="5" t="inlineStr">
        <is>
          <t>PJ-2026-0264</t>
        </is>
      </c>
      <c r="C267" s="6" t="inlineStr">
        <is>
          <t>光明街污水处理扩容工程（四期）</t>
        </is>
      </c>
      <c r="D267" s="4" t="inlineStr">
        <is>
          <t>赵秀</t>
        </is>
      </c>
      <c r="E267" s="7" t="n">
        <v>1431</v>
      </c>
      <c r="F267" s="7" t="n">
        <v>1602.72</v>
      </c>
      <c r="G267" s="7">
        <f>E267-F267</f>
        <v/>
      </c>
      <c r="H267" s="8">
        <f>IFERROR(F267/E267,0)</f>
        <v/>
      </c>
      <c r="I267" s="4">
        <f>IF(H267&gt;=1,"超预算",IF(H267&gt;=0.9,"预警","正常"))</f>
        <v/>
      </c>
      <c r="J267" s="4">
        <f>RANK(F267,$F$4:$F$1203,0)</f>
        <v/>
      </c>
      <c r="K267" s="4" t="inlineStr">
        <is>
          <t>完工</t>
        </is>
      </c>
    </row>
    <row r="268">
      <c r="A268" s="4" t="n">
        <v>265</v>
      </c>
      <c r="B268" s="5" t="inlineStr">
        <is>
          <t>PJ-2026-0265</t>
        </is>
      </c>
      <c r="C268" s="6" t="inlineStr">
        <is>
          <t>城东路供水管网更新工程</t>
        </is>
      </c>
      <c r="D268" s="4" t="inlineStr">
        <is>
          <t>刘伟</t>
        </is>
      </c>
      <c r="E268" s="7" t="n">
        <v>1568</v>
      </c>
      <c r="F268" s="7" t="n">
        <v>1113.28</v>
      </c>
      <c r="G268" s="7">
        <f>E268-F268</f>
        <v/>
      </c>
      <c r="H268" s="8">
        <f>IFERROR(F268/E268,0)</f>
        <v/>
      </c>
      <c r="I268" s="4">
        <f>IF(H268&gt;=1,"超预算",IF(H268&gt;=0.9,"预警","正常"))</f>
        <v/>
      </c>
      <c r="J268" s="4">
        <f>RANK(F268,$F$4:$F$1203,0)</f>
        <v/>
      </c>
      <c r="K268" s="4" t="inlineStr">
        <is>
          <t>在建</t>
        </is>
      </c>
    </row>
    <row r="269">
      <c r="A269" s="4" t="n">
        <v>266</v>
      </c>
      <c r="B269" s="5" t="inlineStr">
        <is>
          <t>PJ-2026-0266</t>
        </is>
      </c>
      <c r="C269" s="6" t="inlineStr">
        <is>
          <t>解放路河道综合整治工程（二期）</t>
        </is>
      </c>
      <c r="D269" s="4" t="inlineStr">
        <is>
          <t>陈磊</t>
        </is>
      </c>
      <c r="E269" s="7" t="n">
        <v>1705</v>
      </c>
      <c r="F269" s="7" t="n">
        <v>1705</v>
      </c>
      <c r="G269" s="7">
        <f>E269-F269</f>
        <v/>
      </c>
      <c r="H269" s="8">
        <f>IFERROR(F269/E269,0)</f>
        <v/>
      </c>
      <c r="I269" s="4">
        <f>IF(H269&gt;=1,"超预算",IF(H269&gt;=0.9,"预警","正常"))</f>
        <v/>
      </c>
      <c r="J269" s="4">
        <f>RANK(F269,$F$4:$F$1203,0)</f>
        <v/>
      </c>
      <c r="K269" s="4" t="inlineStr">
        <is>
          <t>待启动</t>
        </is>
      </c>
    </row>
    <row r="270">
      <c r="A270" s="4" t="n">
        <v>267</v>
      </c>
      <c r="B270" s="5" t="inlineStr">
        <is>
          <t>PJ-2026-0267</t>
        </is>
      </c>
      <c r="C270" s="6" t="inlineStr">
        <is>
          <t>和平街学校新建工程（三期）</t>
        </is>
      </c>
      <c r="D270" s="4" t="inlineStr">
        <is>
          <t>杨涛</t>
        </is>
      </c>
      <c r="E270" s="7" t="n">
        <v>1842</v>
      </c>
      <c r="F270" s="7" t="n">
        <v>1086.78</v>
      </c>
      <c r="G270" s="7">
        <f>E270-F270</f>
        <v/>
      </c>
      <c r="H270" s="8">
        <f>IFERROR(F270/E270,0)</f>
        <v/>
      </c>
      <c r="I270" s="4">
        <f>IF(H270&gt;=1,"超预算",IF(H270&gt;=0.9,"预警","正常"))</f>
        <v/>
      </c>
      <c r="J270" s="4">
        <f>RANK(F270,$F$4:$F$1203,0)</f>
        <v/>
      </c>
      <c r="K270" s="4" t="inlineStr">
        <is>
          <t>完工</t>
        </is>
      </c>
    </row>
    <row r="271">
      <c r="A271" s="4" t="n">
        <v>268</v>
      </c>
      <c r="B271" s="5" t="inlineStr">
        <is>
          <t>PJ-2026-0268</t>
        </is>
      </c>
      <c r="C271" s="6" t="inlineStr">
        <is>
          <t>光明街医院改扩建项目（四期）</t>
        </is>
      </c>
      <c r="D271" s="4" t="inlineStr">
        <is>
          <t>黄刚</t>
        </is>
      </c>
      <c r="E271" s="7" t="n">
        <v>1979</v>
      </c>
      <c r="F271" s="7" t="n">
        <v>1741.52</v>
      </c>
      <c r="G271" s="7">
        <f>E271-F271</f>
        <v/>
      </c>
      <c r="H271" s="8">
        <f>IFERROR(F271/E271,0)</f>
        <v/>
      </c>
      <c r="I271" s="4">
        <f>IF(H271&gt;=1,"超预算",IF(H271&gt;=0.9,"预警","正常"))</f>
        <v/>
      </c>
      <c r="J271" s="4">
        <f>RANK(F271,$F$4:$F$1203,0)</f>
        <v/>
      </c>
      <c r="K271" s="4" t="inlineStr">
        <is>
          <t>在建</t>
        </is>
      </c>
    </row>
    <row r="272">
      <c r="A272" s="4" t="n">
        <v>269</v>
      </c>
      <c r="B272" s="5" t="inlineStr">
        <is>
          <t>PJ-2026-0269</t>
        </is>
      </c>
      <c r="C272" s="6" t="inlineStr">
        <is>
          <t>城东路公交枢纽建设工程</t>
        </is>
      </c>
      <c r="D272" s="4" t="inlineStr">
        <is>
          <t>周静</t>
        </is>
      </c>
      <c r="E272" s="7" t="n">
        <v>2116</v>
      </c>
      <c r="F272" s="7" t="n">
        <v>994.52</v>
      </c>
      <c r="G272" s="7">
        <f>E272-F272</f>
        <v/>
      </c>
      <c r="H272" s="8">
        <f>IFERROR(F272/E272,0)</f>
        <v/>
      </c>
      <c r="I272" s="4">
        <f>IF(H272&gt;=1,"超预算",IF(H272&gt;=0.9,"预警","正常"))</f>
        <v/>
      </c>
      <c r="J272" s="4">
        <f>RANK(F272,$F$4:$F$1203,0)</f>
        <v/>
      </c>
      <c r="K272" s="4" t="inlineStr">
        <is>
          <t>待启动</t>
        </is>
      </c>
    </row>
    <row r="273">
      <c r="A273" s="4" t="n">
        <v>270</v>
      </c>
      <c r="B273" s="5" t="inlineStr">
        <is>
          <t>PJ-2026-0270</t>
        </is>
      </c>
      <c r="C273" s="6" t="inlineStr">
        <is>
          <t>解放路公共停车场建设工程（二期）</t>
        </is>
      </c>
      <c r="D273" s="4" t="inlineStr">
        <is>
          <t>吴艳</t>
        </is>
      </c>
      <c r="E273" s="7" t="n">
        <v>2253</v>
      </c>
      <c r="F273" s="7" t="n">
        <v>1712.28</v>
      </c>
      <c r="G273" s="7">
        <f>E273-F273</f>
        <v/>
      </c>
      <c r="H273" s="8">
        <f>IFERROR(F273/E273,0)</f>
        <v/>
      </c>
      <c r="I273" s="4">
        <f>IF(H273&gt;=1,"超预算",IF(H273&gt;=0.9,"预警","正常"))</f>
        <v/>
      </c>
      <c r="J273" s="4">
        <f>RANK(F273,$F$4:$F$1203,0)</f>
        <v/>
      </c>
      <c r="K273" s="4" t="inlineStr">
        <is>
          <t>完工</t>
        </is>
      </c>
    </row>
    <row r="274">
      <c r="A274" s="4" t="n">
        <v>271</v>
      </c>
      <c r="B274" s="5" t="inlineStr">
        <is>
          <t>PJ-2026-0271</t>
        </is>
      </c>
      <c r="C274" s="6" t="inlineStr">
        <is>
          <t>和平街道路改造工程（三期）</t>
        </is>
      </c>
      <c r="D274" s="4" t="inlineStr">
        <is>
          <t>徐英</t>
        </is>
      </c>
      <c r="E274" s="7" t="n">
        <v>2390</v>
      </c>
      <c r="F274" s="7" t="n">
        <v>2509.5</v>
      </c>
      <c r="G274" s="7">
        <f>E274-F274</f>
        <v/>
      </c>
      <c r="H274" s="8">
        <f>IFERROR(F274/E274,0)</f>
        <v/>
      </c>
      <c r="I274" s="4">
        <f>IF(H274&gt;=1,"超预算",IF(H274&gt;=0.9,"预警","正常"))</f>
        <v/>
      </c>
      <c r="J274" s="4">
        <f>RANK(F274,$F$4:$F$1203,0)</f>
        <v/>
      </c>
      <c r="K274" s="4" t="inlineStr">
        <is>
          <t>在建</t>
        </is>
      </c>
    </row>
    <row r="275">
      <c r="A275" s="4" t="n">
        <v>272</v>
      </c>
      <c r="B275" s="5" t="inlineStr">
        <is>
          <t>PJ-2026-0272</t>
        </is>
      </c>
      <c r="C275" s="6" t="inlineStr">
        <is>
          <t>光明街老旧小区改造项目（四期）</t>
        </is>
      </c>
      <c r="D275" s="4" t="inlineStr">
        <is>
          <t>孙芳</t>
        </is>
      </c>
      <c r="E275" s="7" t="n">
        <v>2527</v>
      </c>
      <c r="F275" s="7" t="n">
        <v>1617.28</v>
      </c>
      <c r="G275" s="7">
        <f>E275-F275</f>
        <v/>
      </c>
      <c r="H275" s="8">
        <f>IFERROR(F275/E275,0)</f>
        <v/>
      </c>
      <c r="I275" s="4">
        <f>IF(H275&gt;=1,"超预算",IF(H275&gt;=0.9,"预警","正常"))</f>
        <v/>
      </c>
      <c r="J275" s="4">
        <f>RANK(F275,$F$4:$F$1203,0)</f>
        <v/>
      </c>
      <c r="K275" s="4" t="inlineStr">
        <is>
          <t>待启动</t>
        </is>
      </c>
    </row>
    <row r="276">
      <c r="A276" s="4" t="n">
        <v>273</v>
      </c>
      <c r="B276" s="5" t="inlineStr">
        <is>
          <t>PJ-2026-0273</t>
        </is>
      </c>
      <c r="C276" s="6" t="inlineStr">
        <is>
          <t>城东路智慧园区建设项目</t>
        </is>
      </c>
      <c r="D276" s="4" t="inlineStr">
        <is>
          <t>马军</t>
        </is>
      </c>
      <c r="E276" s="7" t="n">
        <v>2664</v>
      </c>
      <c r="F276" s="7" t="n">
        <v>2477.52</v>
      </c>
      <c r="G276" s="7">
        <f>E276-F276</f>
        <v/>
      </c>
      <c r="H276" s="8">
        <f>IFERROR(F276/E276,0)</f>
        <v/>
      </c>
      <c r="I276" s="4">
        <f>IF(H276&gt;=1,"超预算",IF(H276&gt;=0.9,"预警","正常"))</f>
        <v/>
      </c>
      <c r="J276" s="4">
        <f>RANK(F276,$F$4:$F$1203,0)</f>
        <v/>
      </c>
      <c r="K276" s="4" t="inlineStr">
        <is>
          <t>完工</t>
        </is>
      </c>
    </row>
    <row r="277">
      <c r="A277" s="4" t="n">
        <v>274</v>
      </c>
      <c r="B277" s="5" t="inlineStr">
        <is>
          <t>PJ-2026-0274</t>
        </is>
      </c>
      <c r="C277" s="6" t="inlineStr">
        <is>
          <t>解放路污水处理扩容工程（二期）</t>
        </is>
      </c>
      <c r="D277" s="4" t="inlineStr">
        <is>
          <t>朱明</t>
        </is>
      </c>
      <c r="E277" s="7" t="n">
        <v>2801</v>
      </c>
      <c r="F277" s="7" t="n">
        <v>1456.52</v>
      </c>
      <c r="G277" s="7">
        <f>E277-F277</f>
        <v/>
      </c>
      <c r="H277" s="8">
        <f>IFERROR(F277/E277,0)</f>
        <v/>
      </c>
      <c r="I277" s="4">
        <f>IF(H277&gt;=1,"超预算",IF(H277&gt;=0.9,"预警","正常"))</f>
        <v/>
      </c>
      <c r="J277" s="4">
        <f>RANK(F277,$F$4:$F$1203,0)</f>
        <v/>
      </c>
      <c r="K277" s="4" t="inlineStr">
        <is>
          <t>在建</t>
        </is>
      </c>
    </row>
    <row r="278">
      <c r="A278" s="4" t="n">
        <v>275</v>
      </c>
      <c r="B278" s="5" t="inlineStr">
        <is>
          <t>PJ-2026-0275</t>
        </is>
      </c>
      <c r="C278" s="6" t="inlineStr">
        <is>
          <t>和平街供水管网更新工程（三期）</t>
        </is>
      </c>
      <c r="D278" s="4" t="inlineStr">
        <is>
          <t>胡桂</t>
        </is>
      </c>
      <c r="E278" s="7" t="n">
        <v>2938</v>
      </c>
      <c r="F278" s="7" t="n">
        <v>2379.78</v>
      </c>
      <c r="G278" s="7">
        <f>E278-F278</f>
        <v/>
      </c>
      <c r="H278" s="8">
        <f>IFERROR(F278/E278,0)</f>
        <v/>
      </c>
      <c r="I278" s="4">
        <f>IF(H278&gt;=1,"超预算",IF(H278&gt;=0.9,"预警","正常"))</f>
        <v/>
      </c>
      <c r="J278" s="4">
        <f>RANK(F278,$F$4:$F$1203,0)</f>
        <v/>
      </c>
      <c r="K278" s="4" t="inlineStr">
        <is>
          <t>待启动</t>
        </is>
      </c>
    </row>
    <row r="279">
      <c r="A279" s="4" t="n">
        <v>276</v>
      </c>
      <c r="B279" s="5" t="inlineStr">
        <is>
          <t>PJ-2026-0276</t>
        </is>
      </c>
      <c r="C279" s="6" t="inlineStr">
        <is>
          <t>光明街河道综合整治工程（四期）</t>
        </is>
      </c>
      <c r="D279" s="4" t="inlineStr">
        <is>
          <t>郭丽</t>
        </is>
      </c>
      <c r="E279" s="7" t="n">
        <v>3075</v>
      </c>
      <c r="F279" s="7" t="n">
        <v>3382.5</v>
      </c>
      <c r="G279" s="7">
        <f>E279-F279</f>
        <v/>
      </c>
      <c r="H279" s="8">
        <f>IFERROR(F279/E279,0)</f>
        <v/>
      </c>
      <c r="I279" s="4">
        <f>IF(H279&gt;=1,"超预算",IF(H279&gt;=0.9,"预警","正常"))</f>
        <v/>
      </c>
      <c r="J279" s="4">
        <f>RANK(F279,$F$4:$F$1203,0)</f>
        <v/>
      </c>
      <c r="K279" s="4" t="inlineStr">
        <is>
          <t>完工</t>
        </is>
      </c>
    </row>
    <row r="280">
      <c r="A280" s="4" t="n">
        <v>277</v>
      </c>
      <c r="B280" s="5" t="inlineStr">
        <is>
          <t>PJ-2026-0277</t>
        </is>
      </c>
      <c r="C280" s="6" t="inlineStr">
        <is>
          <t>城东路学校新建工程</t>
        </is>
      </c>
      <c r="D280" s="4" t="inlineStr">
        <is>
          <t>何杰</t>
        </is>
      </c>
      <c r="E280" s="7" t="n">
        <v>3212</v>
      </c>
      <c r="F280" s="7" t="n">
        <v>2216.28</v>
      </c>
      <c r="G280" s="7">
        <f>E280-F280</f>
        <v/>
      </c>
      <c r="H280" s="8">
        <f>IFERROR(F280/E280,0)</f>
        <v/>
      </c>
      <c r="I280" s="4">
        <f>IF(H280&gt;=1,"超预算",IF(H280&gt;=0.9,"预警","正常"))</f>
        <v/>
      </c>
      <c r="J280" s="4">
        <f>RANK(F280,$F$4:$F$1203,0)</f>
        <v/>
      </c>
      <c r="K280" s="4" t="inlineStr">
        <is>
          <t>在建</t>
        </is>
      </c>
    </row>
    <row r="281">
      <c r="A281" s="4" t="n">
        <v>278</v>
      </c>
      <c r="B281" s="5" t="inlineStr">
        <is>
          <t>PJ-2026-0278</t>
        </is>
      </c>
      <c r="C281" s="6" t="inlineStr">
        <is>
          <t>解放路医院改扩建项目（二期）</t>
        </is>
      </c>
      <c r="D281" s="4" t="inlineStr">
        <is>
          <t>高霞</t>
        </is>
      </c>
      <c r="E281" s="7" t="n">
        <v>3349</v>
      </c>
      <c r="F281" s="7" t="n">
        <v>3282.02</v>
      </c>
      <c r="G281" s="7">
        <f>E281-F281</f>
        <v/>
      </c>
      <c r="H281" s="8">
        <f>IFERROR(F281/E281,0)</f>
        <v/>
      </c>
      <c r="I281" s="4">
        <f>IF(H281&gt;=1,"超预算",IF(H281&gt;=0.9,"预警","正常"))</f>
        <v/>
      </c>
      <c r="J281" s="4">
        <f>RANK(F281,$F$4:$F$1203,0)</f>
        <v/>
      </c>
      <c r="K281" s="4" t="inlineStr">
        <is>
          <t>待启动</t>
        </is>
      </c>
    </row>
    <row r="282">
      <c r="A282" s="4" t="n">
        <v>279</v>
      </c>
      <c r="B282" s="5" t="inlineStr">
        <is>
          <t>PJ-2026-0279</t>
        </is>
      </c>
      <c r="C282" s="6" t="inlineStr">
        <is>
          <t>和平街公交枢纽建设工程（三期）</t>
        </is>
      </c>
      <c r="D282" s="4" t="inlineStr">
        <is>
          <t>林娜</t>
        </is>
      </c>
      <c r="E282" s="7" t="n">
        <v>3486</v>
      </c>
      <c r="F282" s="7" t="n">
        <v>1987.02</v>
      </c>
      <c r="G282" s="7">
        <f>E282-F282</f>
        <v/>
      </c>
      <c r="H282" s="8">
        <f>IFERROR(F282/E282,0)</f>
        <v/>
      </c>
      <c r="I282" s="4">
        <f>IF(H282&gt;=1,"超预算",IF(H282&gt;=0.9,"预警","正常"))</f>
        <v/>
      </c>
      <c r="J282" s="4">
        <f>RANK(F282,$F$4:$F$1203,0)</f>
        <v/>
      </c>
      <c r="K282" s="4" t="inlineStr">
        <is>
          <t>完工</t>
        </is>
      </c>
    </row>
    <row r="283">
      <c r="A283" s="4" t="n">
        <v>280</v>
      </c>
      <c r="B283" s="5" t="inlineStr">
        <is>
          <t>PJ-2026-0280</t>
        </is>
      </c>
      <c r="C283" s="6" t="inlineStr">
        <is>
          <t>光明街公共停车场建设工程（四期）</t>
        </is>
      </c>
      <c r="D283" s="4" t="inlineStr">
        <is>
          <t>罗洋</t>
        </is>
      </c>
      <c r="E283" s="7" t="n">
        <v>3623</v>
      </c>
      <c r="F283" s="7" t="n">
        <v>3115.78</v>
      </c>
      <c r="G283" s="7">
        <f>E283-F283</f>
        <v/>
      </c>
      <c r="H283" s="8">
        <f>IFERROR(F283/E283,0)</f>
        <v/>
      </c>
      <c r="I283" s="4">
        <f>IF(H283&gt;=1,"超预算",IF(H283&gt;=0.9,"预警","正常"))</f>
        <v/>
      </c>
      <c r="J283" s="4">
        <f>RANK(F283,$F$4:$F$1203,0)</f>
        <v/>
      </c>
      <c r="K283" s="4" t="inlineStr">
        <is>
          <t>在建</t>
        </is>
      </c>
    </row>
    <row r="284">
      <c r="A284" s="4" t="n">
        <v>281</v>
      </c>
      <c r="B284" s="5" t="inlineStr">
        <is>
          <t>PJ-2026-0281</t>
        </is>
      </c>
      <c r="C284" s="6" t="inlineStr">
        <is>
          <t>城东路道路改造工程</t>
        </is>
      </c>
      <c r="D284" s="4" t="inlineStr">
        <is>
          <t>张超</t>
        </is>
      </c>
      <c r="E284" s="7" t="n">
        <v>3760</v>
      </c>
      <c r="F284" s="7" t="n">
        <v>1692</v>
      </c>
      <c r="G284" s="7">
        <f>E284-F284</f>
        <v/>
      </c>
      <c r="H284" s="8">
        <f>IFERROR(F284/E284,0)</f>
        <v/>
      </c>
      <c r="I284" s="4">
        <f>IF(H284&gt;=1,"超预算",IF(H284&gt;=0.9,"预警","正常"))</f>
        <v/>
      </c>
      <c r="J284" s="4">
        <f>RANK(F284,$F$4:$F$1203,0)</f>
        <v/>
      </c>
      <c r="K284" s="4" t="inlineStr">
        <is>
          <t>待启动</t>
        </is>
      </c>
    </row>
    <row r="285">
      <c r="A285" s="4" t="n">
        <v>282</v>
      </c>
      <c r="B285" s="5" t="inlineStr">
        <is>
          <t>PJ-2026-0282</t>
        </is>
      </c>
      <c r="C285" s="6" t="inlineStr">
        <is>
          <t>解放路老旧小区改造项目（二期）</t>
        </is>
      </c>
      <c r="D285" s="4" t="inlineStr">
        <is>
          <t>王英</t>
        </is>
      </c>
      <c r="E285" s="7" t="n">
        <v>3897</v>
      </c>
      <c r="F285" s="7" t="n">
        <v>2883.78</v>
      </c>
      <c r="G285" s="7">
        <f>E285-F285</f>
        <v/>
      </c>
      <c r="H285" s="8">
        <f>IFERROR(F285/E285,0)</f>
        <v/>
      </c>
      <c r="I285" s="4">
        <f>IF(H285&gt;=1,"超预算",IF(H285&gt;=0.9,"预警","正常"))</f>
        <v/>
      </c>
      <c r="J285" s="4">
        <f>RANK(F285,$F$4:$F$1203,0)</f>
        <v/>
      </c>
      <c r="K285" s="4" t="inlineStr">
        <is>
          <t>完工</t>
        </is>
      </c>
    </row>
    <row r="286">
      <c r="A286" s="4" t="n">
        <v>283</v>
      </c>
      <c r="B286" s="5" t="inlineStr">
        <is>
          <t>PJ-2026-0283</t>
        </is>
      </c>
      <c r="C286" s="6" t="inlineStr">
        <is>
          <t>和平街智慧园区建设项目（三期）</t>
        </is>
      </c>
      <c r="D286" s="4" t="inlineStr">
        <is>
          <t>李强</t>
        </is>
      </c>
      <c r="E286" s="7" t="n">
        <v>4034</v>
      </c>
      <c r="F286" s="7" t="n">
        <v>4155.02</v>
      </c>
      <c r="G286" s="7">
        <f>E286-F286</f>
        <v/>
      </c>
      <c r="H286" s="8">
        <f>IFERROR(F286/E286,0)</f>
        <v/>
      </c>
      <c r="I286" s="4">
        <f>IF(H286&gt;=1,"超预算",IF(H286&gt;=0.9,"预警","正常"))</f>
        <v/>
      </c>
      <c r="J286" s="4">
        <f>RANK(F286,$F$4:$F$1203,0)</f>
        <v/>
      </c>
      <c r="K286" s="4" t="inlineStr">
        <is>
          <t>在建</t>
        </is>
      </c>
    </row>
    <row r="287">
      <c r="A287" s="4" t="n">
        <v>284</v>
      </c>
      <c r="B287" s="5" t="inlineStr">
        <is>
          <t>PJ-2026-0284</t>
        </is>
      </c>
      <c r="C287" s="6" t="inlineStr">
        <is>
          <t>光明街污水处理扩容工程（四期）</t>
        </is>
      </c>
      <c r="D287" s="4" t="inlineStr">
        <is>
          <t>赵娟</t>
        </is>
      </c>
      <c r="E287" s="7" t="n">
        <v>4171</v>
      </c>
      <c r="F287" s="7" t="n">
        <v>2586.02</v>
      </c>
      <c r="G287" s="7">
        <f>E287-F287</f>
        <v/>
      </c>
      <c r="H287" s="8">
        <f>IFERROR(F287/E287,0)</f>
        <v/>
      </c>
      <c r="I287" s="4">
        <f>IF(H287&gt;=1,"超预算",IF(H287&gt;=0.9,"预警","正常"))</f>
        <v/>
      </c>
      <c r="J287" s="4">
        <f>RANK(F287,$F$4:$F$1203,0)</f>
        <v/>
      </c>
      <c r="K287" s="4" t="inlineStr">
        <is>
          <t>待启动</t>
        </is>
      </c>
    </row>
    <row r="288">
      <c r="A288" s="4" t="n">
        <v>285</v>
      </c>
      <c r="B288" s="5" t="inlineStr">
        <is>
          <t>PJ-2026-0285</t>
        </is>
      </c>
      <c r="C288" s="6" t="inlineStr">
        <is>
          <t>城东路供水管网更新工程</t>
        </is>
      </c>
      <c r="D288" s="4" t="inlineStr">
        <is>
          <t>刘平</t>
        </is>
      </c>
      <c r="E288" s="7" t="n">
        <v>4308</v>
      </c>
      <c r="F288" s="7" t="n">
        <v>3920.28</v>
      </c>
      <c r="G288" s="7">
        <f>E288-F288</f>
        <v/>
      </c>
      <c r="H288" s="8">
        <f>IFERROR(F288/E288,0)</f>
        <v/>
      </c>
      <c r="I288" s="4">
        <f>IF(H288&gt;=1,"超预算",IF(H288&gt;=0.9,"预警","正常"))</f>
        <v/>
      </c>
      <c r="J288" s="4">
        <f>RANK(F288,$F$4:$F$1203,0)</f>
        <v/>
      </c>
      <c r="K288" s="4" t="inlineStr">
        <is>
          <t>完工</t>
        </is>
      </c>
    </row>
    <row r="289">
      <c r="A289" s="4" t="n">
        <v>286</v>
      </c>
      <c r="B289" s="5" t="inlineStr">
        <is>
          <t>PJ-2026-0286</t>
        </is>
      </c>
      <c r="C289" s="6" t="inlineStr">
        <is>
          <t>解放路河道综合整治工程（二期）</t>
        </is>
      </c>
      <c r="D289" s="4" t="inlineStr">
        <is>
          <t>陈敏</t>
        </is>
      </c>
      <c r="E289" s="7" t="n">
        <v>4445</v>
      </c>
      <c r="F289" s="7" t="n">
        <v>2222.5</v>
      </c>
      <c r="G289" s="7">
        <f>E289-F289</f>
        <v/>
      </c>
      <c r="H289" s="8">
        <f>IFERROR(F289/E289,0)</f>
        <v/>
      </c>
      <c r="I289" s="4">
        <f>IF(H289&gt;=1,"超预算",IF(H289&gt;=0.9,"预警","正常"))</f>
        <v/>
      </c>
      <c r="J289" s="4">
        <f>RANK(F289,$F$4:$F$1203,0)</f>
        <v/>
      </c>
      <c r="K289" s="4" t="inlineStr">
        <is>
          <t>在建</t>
        </is>
      </c>
    </row>
    <row r="290">
      <c r="A290" s="4" t="n">
        <v>287</v>
      </c>
      <c r="B290" s="5" t="inlineStr">
        <is>
          <t>PJ-2026-0287</t>
        </is>
      </c>
      <c r="C290" s="6" t="inlineStr">
        <is>
          <t>和平街学校新建工程（三期）</t>
        </is>
      </c>
      <c r="D290" s="4" t="inlineStr">
        <is>
          <t>杨勇</t>
        </is>
      </c>
      <c r="E290" s="7" t="n">
        <v>4582</v>
      </c>
      <c r="F290" s="7" t="n">
        <v>3619.78</v>
      </c>
      <c r="G290" s="7">
        <f>E290-F290</f>
        <v/>
      </c>
      <c r="H290" s="8">
        <f>IFERROR(F290/E290,0)</f>
        <v/>
      </c>
      <c r="I290" s="4">
        <f>IF(H290&gt;=1,"超预算",IF(H290&gt;=0.9,"预警","正常"))</f>
        <v/>
      </c>
      <c r="J290" s="4">
        <f>RANK(F290,$F$4:$F$1203,0)</f>
        <v/>
      </c>
      <c r="K290" s="4" t="inlineStr">
        <is>
          <t>待启动</t>
        </is>
      </c>
    </row>
    <row r="291">
      <c r="A291" s="4" t="n">
        <v>288</v>
      </c>
      <c r="B291" s="5" t="inlineStr">
        <is>
          <t>PJ-2026-0288</t>
        </is>
      </c>
      <c r="C291" s="6" t="inlineStr">
        <is>
          <t>光明街医院改扩建项目（四期）</t>
        </is>
      </c>
      <c r="D291" s="4" t="inlineStr">
        <is>
          <t>黄秀</t>
        </is>
      </c>
      <c r="E291" s="7" t="n">
        <v>4719</v>
      </c>
      <c r="F291" s="7" t="n">
        <v>5096.52</v>
      </c>
      <c r="G291" s="7">
        <f>E291-F291</f>
        <v/>
      </c>
      <c r="H291" s="8">
        <f>IFERROR(F291/E291,0)</f>
        <v/>
      </c>
      <c r="I291" s="4">
        <f>IF(H291&gt;=1,"超预算",IF(H291&gt;=0.9,"预警","正常"))</f>
        <v/>
      </c>
      <c r="J291" s="4">
        <f>RANK(F291,$F$4:$F$1203,0)</f>
        <v/>
      </c>
      <c r="K291" s="4" t="inlineStr">
        <is>
          <t>完工</t>
        </is>
      </c>
    </row>
    <row r="292">
      <c r="A292" s="4" t="n">
        <v>289</v>
      </c>
      <c r="B292" s="5" t="inlineStr">
        <is>
          <t>PJ-2026-0289</t>
        </is>
      </c>
      <c r="C292" s="6" t="inlineStr">
        <is>
          <t>城东路公交枢纽建设工程</t>
        </is>
      </c>
      <c r="D292" s="4" t="inlineStr">
        <is>
          <t>周伟</t>
        </is>
      </c>
      <c r="E292" s="7" t="n">
        <v>4856</v>
      </c>
      <c r="F292" s="7" t="n">
        <v>3253.52</v>
      </c>
      <c r="G292" s="7">
        <f>E292-F292</f>
        <v/>
      </c>
      <c r="H292" s="8">
        <f>IFERROR(F292/E292,0)</f>
        <v/>
      </c>
      <c r="I292" s="4">
        <f>IF(H292&gt;=1,"超预算",IF(H292&gt;=0.9,"预警","正常"))</f>
        <v/>
      </c>
      <c r="J292" s="4">
        <f>RANK(F292,$F$4:$F$1203,0)</f>
        <v/>
      </c>
      <c r="K292" s="4" t="inlineStr">
        <is>
          <t>在建</t>
        </is>
      </c>
    </row>
    <row r="293">
      <c r="A293" s="4" t="n">
        <v>290</v>
      </c>
      <c r="B293" s="5" t="inlineStr">
        <is>
          <t>PJ-2026-0290</t>
        </is>
      </c>
      <c r="C293" s="6" t="inlineStr">
        <is>
          <t>解放路公共停车场建设工程（二期）</t>
        </is>
      </c>
      <c r="D293" s="4" t="inlineStr">
        <is>
          <t>吴磊</t>
        </is>
      </c>
      <c r="E293" s="7" t="n">
        <v>4993</v>
      </c>
      <c r="F293" s="7" t="n">
        <v>4793.28</v>
      </c>
      <c r="G293" s="7">
        <f>E293-F293</f>
        <v/>
      </c>
      <c r="H293" s="8">
        <f>IFERROR(F293/E293,0)</f>
        <v/>
      </c>
      <c r="I293" s="4">
        <f>IF(H293&gt;=1,"超预算",IF(H293&gt;=0.9,"预警","正常"))</f>
        <v/>
      </c>
      <c r="J293" s="4">
        <f>RANK(F293,$F$4:$F$1203,0)</f>
        <v/>
      </c>
      <c r="K293" s="4" t="inlineStr">
        <is>
          <t>待启动</t>
        </is>
      </c>
    </row>
    <row r="294">
      <c r="A294" s="4" t="n">
        <v>291</v>
      </c>
      <c r="B294" s="5" t="inlineStr">
        <is>
          <t>PJ-2026-0291</t>
        </is>
      </c>
      <c r="C294" s="6" t="inlineStr">
        <is>
          <t>和平街道路改造工程（三期）</t>
        </is>
      </c>
      <c r="D294" s="4" t="inlineStr">
        <is>
          <t>徐涛</t>
        </is>
      </c>
      <c r="E294" s="7" t="n">
        <v>180</v>
      </c>
      <c r="F294" s="7" t="n">
        <v>99</v>
      </c>
      <c r="G294" s="7">
        <f>E294-F294</f>
        <v/>
      </c>
      <c r="H294" s="8">
        <f>IFERROR(F294/E294,0)</f>
        <v/>
      </c>
      <c r="I294" s="4">
        <f>IF(H294&gt;=1,"超预算",IF(H294&gt;=0.9,"预警","正常"))</f>
        <v/>
      </c>
      <c r="J294" s="4">
        <f>RANK(F294,$F$4:$F$1203,0)</f>
        <v/>
      </c>
      <c r="K294" s="4" t="inlineStr">
        <is>
          <t>完工</t>
        </is>
      </c>
    </row>
    <row r="295">
      <c r="A295" s="4" t="n">
        <v>292</v>
      </c>
      <c r="B295" s="5" t="inlineStr">
        <is>
          <t>PJ-2026-0292</t>
        </is>
      </c>
      <c r="C295" s="6" t="inlineStr">
        <is>
          <t>光明街老旧小区改造项目（四期）</t>
        </is>
      </c>
      <c r="D295" s="4" t="inlineStr">
        <is>
          <t>孙刚</t>
        </is>
      </c>
      <c r="E295" s="7" t="n">
        <v>317</v>
      </c>
      <c r="F295" s="7" t="n">
        <v>266.28</v>
      </c>
      <c r="G295" s="7">
        <f>E295-F295</f>
        <v/>
      </c>
      <c r="H295" s="8">
        <f>IFERROR(F295/E295,0)</f>
        <v/>
      </c>
      <c r="I295" s="4">
        <f>IF(H295&gt;=1,"超预算",IF(H295&gt;=0.9,"预警","正常"))</f>
        <v/>
      </c>
      <c r="J295" s="4">
        <f>RANK(F295,$F$4:$F$1203,0)</f>
        <v/>
      </c>
      <c r="K295" s="4" t="inlineStr">
        <is>
          <t>在建</t>
        </is>
      </c>
    </row>
    <row r="296">
      <c r="A296" s="4" t="n">
        <v>293</v>
      </c>
      <c r="B296" s="5" t="inlineStr">
        <is>
          <t>PJ-2026-0293</t>
        </is>
      </c>
      <c r="C296" s="6" t="inlineStr">
        <is>
          <t>城东路智慧园区建设项目</t>
        </is>
      </c>
      <c r="D296" s="4" t="inlineStr">
        <is>
          <t>马静</t>
        </is>
      </c>
      <c r="E296" s="7" t="n">
        <v>454</v>
      </c>
      <c r="F296" s="7" t="n">
        <v>513.02</v>
      </c>
      <c r="G296" s="7">
        <f>E296-F296</f>
        <v/>
      </c>
      <c r="H296" s="8">
        <f>IFERROR(F296/E296,0)</f>
        <v/>
      </c>
      <c r="I296" s="4">
        <f>IF(H296&gt;=1,"超预算",IF(H296&gt;=0.9,"预警","正常"))</f>
        <v/>
      </c>
      <c r="J296" s="4">
        <f>RANK(F296,$F$4:$F$1203,0)</f>
        <v/>
      </c>
      <c r="K296" s="4" t="inlineStr">
        <is>
          <t>待启动</t>
        </is>
      </c>
    </row>
    <row r="297">
      <c r="A297" s="4" t="n">
        <v>294</v>
      </c>
      <c r="B297" s="5" t="inlineStr">
        <is>
          <t>PJ-2026-0294</t>
        </is>
      </c>
      <c r="C297" s="6" t="inlineStr">
        <is>
          <t>解放路污水处理扩容工程（二期）</t>
        </is>
      </c>
      <c r="D297" s="4" t="inlineStr">
        <is>
          <t>朱艳</t>
        </is>
      </c>
      <c r="E297" s="7" t="n">
        <v>591</v>
      </c>
      <c r="F297" s="7" t="n">
        <v>425.52</v>
      </c>
      <c r="G297" s="7">
        <f>E297-F297</f>
        <v/>
      </c>
      <c r="H297" s="8">
        <f>IFERROR(F297/E297,0)</f>
        <v/>
      </c>
      <c r="I297" s="4">
        <f>IF(H297&gt;=1,"超预算",IF(H297&gt;=0.9,"预警","正常"))</f>
        <v/>
      </c>
      <c r="J297" s="4">
        <f>RANK(F297,$F$4:$F$1203,0)</f>
        <v/>
      </c>
      <c r="K297" s="4" t="inlineStr">
        <is>
          <t>完工</t>
        </is>
      </c>
    </row>
    <row r="298">
      <c r="A298" s="4" t="n">
        <v>295</v>
      </c>
      <c r="B298" s="5" t="inlineStr">
        <is>
          <t>PJ-2026-0295</t>
        </is>
      </c>
      <c r="C298" s="6" t="inlineStr">
        <is>
          <t>和平街供水管网更新工程（三期）</t>
        </is>
      </c>
      <c r="D298" s="4" t="inlineStr">
        <is>
          <t>胡英</t>
        </is>
      </c>
      <c r="E298" s="7" t="n">
        <v>728</v>
      </c>
      <c r="F298" s="7" t="n">
        <v>735.28</v>
      </c>
      <c r="G298" s="7">
        <f>E298-F298</f>
        <v/>
      </c>
      <c r="H298" s="8">
        <f>IFERROR(F298/E298,0)</f>
        <v/>
      </c>
      <c r="I298" s="4">
        <f>IF(H298&gt;=1,"超预算",IF(H298&gt;=0.9,"预警","正常"))</f>
        <v/>
      </c>
      <c r="J298" s="4">
        <f>RANK(F298,$F$4:$F$1203,0)</f>
        <v/>
      </c>
      <c r="K298" s="4" t="inlineStr">
        <is>
          <t>在建</t>
        </is>
      </c>
    </row>
    <row r="299">
      <c r="A299" s="4" t="n">
        <v>296</v>
      </c>
      <c r="B299" s="5" t="inlineStr">
        <is>
          <t>PJ-2026-0296</t>
        </is>
      </c>
      <c r="C299" s="6" t="inlineStr">
        <is>
          <t>光明街河道综合整治工程（四期）</t>
        </is>
      </c>
      <c r="D299" s="4" t="inlineStr">
        <is>
          <t>郭芳</t>
        </is>
      </c>
      <c r="E299" s="7" t="n">
        <v>865</v>
      </c>
      <c r="F299" s="7" t="n">
        <v>519</v>
      </c>
      <c r="G299" s="7">
        <f>E299-F299</f>
        <v/>
      </c>
      <c r="H299" s="8">
        <f>IFERROR(F299/E299,0)</f>
        <v/>
      </c>
      <c r="I299" s="4">
        <f>IF(H299&gt;=1,"超预算",IF(H299&gt;=0.9,"预警","正常"))</f>
        <v/>
      </c>
      <c r="J299" s="4">
        <f>RANK(F299,$F$4:$F$1203,0)</f>
        <v/>
      </c>
      <c r="K299" s="4" t="inlineStr">
        <is>
          <t>待启动</t>
        </is>
      </c>
    </row>
    <row r="300">
      <c r="A300" s="4" t="n">
        <v>297</v>
      </c>
      <c r="B300" s="5" t="inlineStr">
        <is>
          <t>PJ-2026-0297</t>
        </is>
      </c>
      <c r="C300" s="6" t="inlineStr">
        <is>
          <t>城东路学校新建工程</t>
        </is>
      </c>
      <c r="D300" s="4" t="inlineStr">
        <is>
          <t>何军</t>
        </is>
      </c>
      <c r="E300" s="7" t="n">
        <v>1002</v>
      </c>
      <c r="F300" s="7" t="n">
        <v>891.78</v>
      </c>
      <c r="G300" s="7">
        <f>E300-F300</f>
        <v/>
      </c>
      <c r="H300" s="8">
        <f>IFERROR(F300/E300,0)</f>
        <v/>
      </c>
      <c r="I300" s="4">
        <f>IF(H300&gt;=1,"超预算",IF(H300&gt;=0.9,"预警","正常"))</f>
        <v/>
      </c>
      <c r="J300" s="4">
        <f>RANK(F300,$F$4:$F$1203,0)</f>
        <v/>
      </c>
      <c r="K300" s="4" t="inlineStr">
        <is>
          <t>完工</t>
        </is>
      </c>
    </row>
    <row r="301">
      <c r="A301" s="4" t="n">
        <v>298</v>
      </c>
      <c r="B301" s="5" t="inlineStr">
        <is>
          <t>PJ-2026-0298</t>
        </is>
      </c>
      <c r="C301" s="6" t="inlineStr">
        <is>
          <t>解放路医院改扩建项目（二期）</t>
        </is>
      </c>
      <c r="D301" s="4" t="inlineStr">
        <is>
          <t>高明</t>
        </is>
      </c>
      <c r="E301" s="7" t="n">
        <v>1139</v>
      </c>
      <c r="F301" s="7" t="n">
        <v>546.72</v>
      </c>
      <c r="G301" s="7">
        <f>E301-F301</f>
        <v/>
      </c>
      <c r="H301" s="8">
        <f>IFERROR(F301/E301,0)</f>
        <v/>
      </c>
      <c r="I301" s="4">
        <f>IF(H301&gt;=1,"超预算",IF(H301&gt;=0.9,"预警","正常"))</f>
        <v/>
      </c>
      <c r="J301" s="4">
        <f>RANK(F301,$F$4:$F$1203,0)</f>
        <v/>
      </c>
      <c r="K301" s="4" t="inlineStr">
        <is>
          <t>在建</t>
        </is>
      </c>
    </row>
    <row r="302">
      <c r="A302" s="4" t="n">
        <v>299</v>
      </c>
      <c r="B302" s="5" t="inlineStr">
        <is>
          <t>PJ-2026-0299</t>
        </is>
      </c>
      <c r="C302" s="6" t="inlineStr">
        <is>
          <t>和平街公交枢纽建设工程（三期）</t>
        </is>
      </c>
      <c r="D302" s="4" t="inlineStr">
        <is>
          <t>林桂</t>
        </is>
      </c>
      <c r="E302" s="7" t="n">
        <v>1276</v>
      </c>
      <c r="F302" s="7" t="n">
        <v>982.52</v>
      </c>
      <c r="G302" s="7">
        <f>E302-F302</f>
        <v/>
      </c>
      <c r="H302" s="8">
        <f>IFERROR(F302/E302,0)</f>
        <v/>
      </c>
      <c r="I302" s="4">
        <f>IF(H302&gt;=1,"超预算",IF(H302&gt;=0.9,"预警","正常"))</f>
        <v/>
      </c>
      <c r="J302" s="4">
        <f>RANK(F302,$F$4:$F$1203,0)</f>
        <v/>
      </c>
      <c r="K302" s="4" t="inlineStr">
        <is>
          <t>待启动</t>
        </is>
      </c>
    </row>
    <row r="303">
      <c r="A303" s="4" t="n">
        <v>300</v>
      </c>
      <c r="B303" s="5" t="inlineStr">
        <is>
          <t>PJ-2026-0300</t>
        </is>
      </c>
      <c r="C303" s="6" t="inlineStr">
        <is>
          <t>光明街公共停车场建设工程（四期）</t>
        </is>
      </c>
      <c r="D303" s="4" t="inlineStr">
        <is>
          <t>罗丽</t>
        </is>
      </c>
      <c r="E303" s="7" t="n">
        <v>1413</v>
      </c>
      <c r="F303" s="7" t="n">
        <v>1497.78</v>
      </c>
      <c r="G303" s="7">
        <f>E303-F303</f>
        <v/>
      </c>
      <c r="H303" s="8">
        <f>IFERROR(F303/E303,0)</f>
        <v/>
      </c>
      <c r="I303" s="4">
        <f>IF(H303&gt;=1,"超预算",IF(H303&gt;=0.9,"预警","正常"))</f>
        <v/>
      </c>
      <c r="J303" s="4">
        <f>RANK(F303,$F$4:$F$1203,0)</f>
        <v/>
      </c>
      <c r="K303" s="4" t="inlineStr">
        <is>
          <t>完工</t>
        </is>
      </c>
    </row>
    <row r="304">
      <c r="A304" s="4" t="n">
        <v>301</v>
      </c>
      <c r="B304" s="5" t="inlineStr">
        <is>
          <t>PJ-2026-0301</t>
        </is>
      </c>
      <c r="C304" s="6" t="inlineStr">
        <is>
          <t>城东路道路改造工程</t>
        </is>
      </c>
      <c r="D304" s="4" t="inlineStr">
        <is>
          <t>张杰</t>
        </is>
      </c>
      <c r="E304" s="7" t="n">
        <v>1550</v>
      </c>
      <c r="F304" s="7" t="n">
        <v>1007.5</v>
      </c>
      <c r="G304" s="7">
        <f>E304-F304</f>
        <v/>
      </c>
      <c r="H304" s="8">
        <f>IFERROR(F304/E304,0)</f>
        <v/>
      </c>
      <c r="I304" s="4">
        <f>IF(H304&gt;=1,"超预算",IF(H304&gt;=0.9,"预警","正常"))</f>
        <v/>
      </c>
      <c r="J304" s="4">
        <f>RANK(F304,$F$4:$F$1203,0)</f>
        <v/>
      </c>
      <c r="K304" s="4" t="inlineStr">
        <is>
          <t>在建</t>
        </is>
      </c>
    </row>
    <row r="305">
      <c r="A305" s="4" t="n">
        <v>302</v>
      </c>
      <c r="B305" s="5" t="inlineStr">
        <is>
          <t>PJ-2026-0302</t>
        </is>
      </c>
      <c r="C305" s="6" t="inlineStr">
        <is>
          <t>解放路老旧小区改造项目（二期）</t>
        </is>
      </c>
      <c r="D305" s="4" t="inlineStr">
        <is>
          <t>王霞</t>
        </is>
      </c>
      <c r="E305" s="7" t="n">
        <v>1687</v>
      </c>
      <c r="F305" s="7" t="n">
        <v>1585.78</v>
      </c>
      <c r="G305" s="7">
        <f>E305-F305</f>
        <v/>
      </c>
      <c r="H305" s="8">
        <f>IFERROR(F305/E305,0)</f>
        <v/>
      </c>
      <c r="I305" s="4">
        <f>IF(H305&gt;=1,"超预算",IF(H305&gt;=0.9,"预警","正常"))</f>
        <v/>
      </c>
      <c r="J305" s="4">
        <f>RANK(F305,$F$4:$F$1203,0)</f>
        <v/>
      </c>
      <c r="K305" s="4" t="inlineStr">
        <is>
          <t>待启动</t>
        </is>
      </c>
    </row>
    <row r="306">
      <c r="A306" s="4" t="n">
        <v>303</v>
      </c>
      <c r="B306" s="5" t="inlineStr">
        <is>
          <t>PJ-2026-0303</t>
        </is>
      </c>
      <c r="C306" s="6" t="inlineStr">
        <is>
          <t>和平街智慧园区建设项目（三期）</t>
        </is>
      </c>
      <c r="D306" s="4" t="inlineStr">
        <is>
          <t>李娜</t>
        </is>
      </c>
      <c r="E306" s="7" t="n">
        <v>1824</v>
      </c>
      <c r="F306" s="7" t="n">
        <v>966.72</v>
      </c>
      <c r="G306" s="7">
        <f>E306-F306</f>
        <v/>
      </c>
      <c r="H306" s="8">
        <f>IFERROR(F306/E306,0)</f>
        <v/>
      </c>
      <c r="I306" s="4">
        <f>IF(H306&gt;=1,"超预算",IF(H306&gt;=0.9,"预警","正常"))</f>
        <v/>
      </c>
      <c r="J306" s="4">
        <f>RANK(F306,$F$4:$F$1203,0)</f>
        <v/>
      </c>
      <c r="K306" s="4" t="inlineStr">
        <is>
          <t>完工</t>
        </is>
      </c>
    </row>
    <row r="307">
      <c r="A307" s="4" t="n">
        <v>304</v>
      </c>
      <c r="B307" s="5" t="inlineStr">
        <is>
          <t>PJ-2026-0304</t>
        </is>
      </c>
      <c r="C307" s="6" t="inlineStr">
        <is>
          <t>光明街污水处理扩容工程（四期）</t>
        </is>
      </c>
      <c r="D307" s="4" t="inlineStr">
        <is>
          <t>赵洋</t>
        </is>
      </c>
      <c r="E307" s="7" t="n">
        <v>1961</v>
      </c>
      <c r="F307" s="7" t="n">
        <v>1608.02</v>
      </c>
      <c r="G307" s="7">
        <f>E307-F307</f>
        <v/>
      </c>
      <c r="H307" s="8">
        <f>IFERROR(F307/E307,0)</f>
        <v/>
      </c>
      <c r="I307" s="4">
        <f>IF(H307&gt;=1,"超预算",IF(H307&gt;=0.9,"预警","正常"))</f>
        <v/>
      </c>
      <c r="J307" s="4">
        <f>RANK(F307,$F$4:$F$1203,0)</f>
        <v/>
      </c>
      <c r="K307" s="4" t="inlineStr">
        <is>
          <t>在建</t>
        </is>
      </c>
    </row>
    <row r="308">
      <c r="A308" s="4" t="n">
        <v>305</v>
      </c>
      <c r="B308" s="5" t="inlineStr">
        <is>
          <t>PJ-2026-0305</t>
        </is>
      </c>
      <c r="C308" s="6" t="inlineStr">
        <is>
          <t>城东路供水管网更新工程</t>
        </is>
      </c>
      <c r="D308" s="4" t="inlineStr">
        <is>
          <t>刘超</t>
        </is>
      </c>
      <c r="E308" s="7" t="n">
        <v>2098</v>
      </c>
      <c r="F308" s="7" t="n">
        <v>2328.78</v>
      </c>
      <c r="G308" s="7">
        <f>E308-F308</f>
        <v/>
      </c>
      <c r="H308" s="8">
        <f>IFERROR(F308/E308,0)</f>
        <v/>
      </c>
      <c r="I308" s="4">
        <f>IF(H308&gt;=1,"超预算",IF(H308&gt;=0.9,"预警","正常"))</f>
        <v/>
      </c>
      <c r="J308" s="4">
        <f>RANK(F308,$F$4:$F$1203,0)</f>
        <v/>
      </c>
      <c r="K308" s="4" t="inlineStr">
        <is>
          <t>待启动</t>
        </is>
      </c>
    </row>
    <row r="309">
      <c r="A309" s="4" t="n">
        <v>306</v>
      </c>
      <c r="B309" s="5" t="inlineStr">
        <is>
          <t>PJ-2026-0306</t>
        </is>
      </c>
      <c r="C309" s="6" t="inlineStr">
        <is>
          <t>解放路河道综合整治工程（二期）</t>
        </is>
      </c>
      <c r="D309" s="4" t="inlineStr">
        <is>
          <t>陈英</t>
        </is>
      </c>
      <c r="E309" s="7" t="n">
        <v>2235</v>
      </c>
      <c r="F309" s="7" t="n">
        <v>1564.5</v>
      </c>
      <c r="G309" s="7">
        <f>E309-F309</f>
        <v/>
      </c>
      <c r="H309" s="8">
        <f>IFERROR(F309/E309,0)</f>
        <v/>
      </c>
      <c r="I309" s="4">
        <f>IF(H309&gt;=1,"超预算",IF(H309&gt;=0.9,"预警","正常"))</f>
        <v/>
      </c>
      <c r="J309" s="4">
        <f>RANK(F309,$F$4:$F$1203,0)</f>
        <v/>
      </c>
      <c r="K309" s="4" t="inlineStr">
        <is>
          <t>完工</t>
        </is>
      </c>
    </row>
    <row r="310">
      <c r="A310" s="4" t="n">
        <v>307</v>
      </c>
      <c r="B310" s="5" t="inlineStr">
        <is>
          <t>PJ-2026-0307</t>
        </is>
      </c>
      <c r="C310" s="6" t="inlineStr">
        <is>
          <t>和平街学校新建工程（三期）</t>
        </is>
      </c>
      <c r="D310" s="4" t="inlineStr">
        <is>
          <t>杨强</t>
        </is>
      </c>
      <c r="E310" s="7" t="n">
        <v>2372</v>
      </c>
      <c r="F310" s="7" t="n">
        <v>2348.28</v>
      </c>
      <c r="G310" s="7">
        <f>E310-F310</f>
        <v/>
      </c>
      <c r="H310" s="8">
        <f>IFERROR(F310/E310,0)</f>
        <v/>
      </c>
      <c r="I310" s="4">
        <f>IF(H310&gt;=1,"超预算",IF(H310&gt;=0.9,"预警","正常"))</f>
        <v/>
      </c>
      <c r="J310" s="4">
        <f>RANK(F310,$F$4:$F$1203,0)</f>
        <v/>
      </c>
      <c r="K310" s="4" t="inlineStr">
        <is>
          <t>在建</t>
        </is>
      </c>
    </row>
    <row r="311">
      <c r="A311" s="4" t="n">
        <v>308</v>
      </c>
      <c r="B311" s="5" t="inlineStr">
        <is>
          <t>PJ-2026-0308</t>
        </is>
      </c>
      <c r="C311" s="6" t="inlineStr">
        <is>
          <t>光明街医院改扩建项目（四期）</t>
        </is>
      </c>
      <c r="D311" s="4" t="inlineStr">
        <is>
          <t>黄娟</t>
        </is>
      </c>
      <c r="E311" s="7" t="n">
        <v>2509</v>
      </c>
      <c r="F311" s="7" t="n">
        <v>1455.22</v>
      </c>
      <c r="G311" s="7">
        <f>E311-F311</f>
        <v/>
      </c>
      <c r="H311" s="8">
        <f>IFERROR(F311/E311,0)</f>
        <v/>
      </c>
      <c r="I311" s="4">
        <f>IF(H311&gt;=1,"超预算",IF(H311&gt;=0.9,"预警","正常"))</f>
        <v/>
      </c>
      <c r="J311" s="4">
        <f>RANK(F311,$F$4:$F$1203,0)</f>
        <v/>
      </c>
      <c r="K311" s="4" t="inlineStr">
        <is>
          <t>待启动</t>
        </is>
      </c>
    </row>
    <row r="312">
      <c r="A312" s="4" t="n">
        <v>309</v>
      </c>
      <c r="B312" s="5" t="inlineStr">
        <is>
          <t>PJ-2026-0309</t>
        </is>
      </c>
      <c r="C312" s="6" t="inlineStr">
        <is>
          <t>城东路公交枢纽建设工程</t>
        </is>
      </c>
      <c r="D312" s="4" t="inlineStr">
        <is>
          <t>周平</t>
        </is>
      </c>
      <c r="E312" s="7" t="n">
        <v>2646</v>
      </c>
      <c r="F312" s="7" t="n">
        <v>2302.02</v>
      </c>
      <c r="G312" s="7">
        <f>E312-F312</f>
        <v/>
      </c>
      <c r="H312" s="8">
        <f>IFERROR(F312/E312,0)</f>
        <v/>
      </c>
      <c r="I312" s="4">
        <f>IF(H312&gt;=1,"超预算",IF(H312&gt;=0.9,"预警","正常"))</f>
        <v/>
      </c>
      <c r="J312" s="4">
        <f>RANK(F312,$F$4:$F$1203,0)</f>
        <v/>
      </c>
      <c r="K312" s="4" t="inlineStr">
        <is>
          <t>完工</t>
        </is>
      </c>
    </row>
    <row r="313">
      <c r="A313" s="4" t="n">
        <v>310</v>
      </c>
      <c r="B313" s="5" t="inlineStr">
        <is>
          <t>PJ-2026-0310</t>
        </is>
      </c>
      <c r="C313" s="6" t="inlineStr">
        <is>
          <t>解放路公共停车场建设工程（二期）</t>
        </is>
      </c>
      <c r="D313" s="4" t="inlineStr">
        <is>
          <t>吴敏</t>
        </is>
      </c>
      <c r="E313" s="7" t="n">
        <v>2783</v>
      </c>
      <c r="F313" s="7" t="n">
        <v>1280.18</v>
      </c>
      <c r="G313" s="7">
        <f>E313-F313</f>
        <v/>
      </c>
      <c r="H313" s="8">
        <f>IFERROR(F313/E313,0)</f>
        <v/>
      </c>
      <c r="I313" s="4">
        <f>IF(H313&gt;=1,"超预算",IF(H313&gt;=0.9,"预警","正常"))</f>
        <v/>
      </c>
      <c r="J313" s="4">
        <f>RANK(F313,$F$4:$F$1203,0)</f>
        <v/>
      </c>
      <c r="K313" s="4" t="inlineStr">
        <is>
          <t>在建</t>
        </is>
      </c>
    </row>
    <row r="314">
      <c r="A314" s="4" t="n">
        <v>311</v>
      </c>
      <c r="B314" s="5" t="inlineStr">
        <is>
          <t>PJ-2026-0311</t>
        </is>
      </c>
      <c r="C314" s="6" t="inlineStr">
        <is>
          <t>和平街道路改造工程（三期）</t>
        </is>
      </c>
      <c r="D314" s="4" t="inlineStr">
        <is>
          <t>徐勇</t>
        </is>
      </c>
      <c r="E314" s="7" t="n">
        <v>2920</v>
      </c>
      <c r="F314" s="7" t="n">
        <v>2190</v>
      </c>
      <c r="G314" s="7">
        <f>E314-F314</f>
        <v/>
      </c>
      <c r="H314" s="8">
        <f>IFERROR(F314/E314,0)</f>
        <v/>
      </c>
      <c r="I314" s="4">
        <f>IF(H314&gt;=1,"超预算",IF(H314&gt;=0.9,"预警","正常"))</f>
        <v/>
      </c>
      <c r="J314" s="4">
        <f>RANK(F314,$F$4:$F$1203,0)</f>
        <v/>
      </c>
      <c r="K314" s="4" t="inlineStr">
        <is>
          <t>待启动</t>
        </is>
      </c>
    </row>
    <row r="315">
      <c r="A315" s="4" t="n">
        <v>312</v>
      </c>
      <c r="B315" s="5" t="inlineStr">
        <is>
          <t>PJ-2026-0312</t>
        </is>
      </c>
      <c r="C315" s="6" t="inlineStr">
        <is>
          <t>光明街老旧小区改造项目（四期）</t>
        </is>
      </c>
      <c r="D315" s="4" t="inlineStr">
        <is>
          <t>孙秀</t>
        </is>
      </c>
      <c r="E315" s="7" t="n">
        <v>3057</v>
      </c>
      <c r="F315" s="7" t="n">
        <v>3179.28</v>
      </c>
      <c r="G315" s="7">
        <f>E315-F315</f>
        <v/>
      </c>
      <c r="H315" s="8">
        <f>IFERROR(F315/E315,0)</f>
        <v/>
      </c>
      <c r="I315" s="4">
        <f>IF(H315&gt;=1,"超预算",IF(H315&gt;=0.9,"预警","正常"))</f>
        <v/>
      </c>
      <c r="J315" s="4">
        <f>RANK(F315,$F$4:$F$1203,0)</f>
        <v/>
      </c>
      <c r="K315" s="4" t="inlineStr">
        <is>
          <t>完工</t>
        </is>
      </c>
    </row>
    <row r="316">
      <c r="A316" s="4" t="n">
        <v>313</v>
      </c>
      <c r="B316" s="5" t="inlineStr">
        <is>
          <t>PJ-2026-0313</t>
        </is>
      </c>
      <c r="C316" s="6" t="inlineStr">
        <is>
          <t>城东路智慧园区建设项目</t>
        </is>
      </c>
      <c r="D316" s="4" t="inlineStr">
        <is>
          <t>马伟</t>
        </is>
      </c>
      <c r="E316" s="7" t="n">
        <v>3194</v>
      </c>
      <c r="F316" s="7" t="n">
        <v>2012.22</v>
      </c>
      <c r="G316" s="7">
        <f>E316-F316</f>
        <v/>
      </c>
      <c r="H316" s="8">
        <f>IFERROR(F316/E316,0)</f>
        <v/>
      </c>
      <c r="I316" s="4">
        <f>IF(H316&gt;=1,"超预算",IF(H316&gt;=0.9,"预警","正常"))</f>
        <v/>
      </c>
      <c r="J316" s="4">
        <f>RANK(F316,$F$4:$F$1203,0)</f>
        <v/>
      </c>
      <c r="K316" s="4" t="inlineStr">
        <is>
          <t>在建</t>
        </is>
      </c>
    </row>
    <row r="317">
      <c r="A317" s="4" t="n">
        <v>314</v>
      </c>
      <c r="B317" s="5" t="inlineStr">
        <is>
          <t>PJ-2026-0314</t>
        </is>
      </c>
      <c r="C317" s="6" t="inlineStr">
        <is>
          <t>解放路污水处理扩容工程（二期）</t>
        </is>
      </c>
      <c r="D317" s="4" t="inlineStr">
        <is>
          <t>朱磊</t>
        </is>
      </c>
      <c r="E317" s="7" t="n">
        <v>3331</v>
      </c>
      <c r="F317" s="7" t="n">
        <v>3064.52</v>
      </c>
      <c r="G317" s="7">
        <f>E317-F317</f>
        <v/>
      </c>
      <c r="H317" s="8">
        <f>IFERROR(F317/E317,0)</f>
        <v/>
      </c>
      <c r="I317" s="4">
        <f>IF(H317&gt;=1,"超预算",IF(H317&gt;=0.9,"预警","正常"))</f>
        <v/>
      </c>
      <c r="J317" s="4">
        <f>RANK(F317,$F$4:$F$1203,0)</f>
        <v/>
      </c>
      <c r="K317" s="4" t="inlineStr">
        <is>
          <t>待启动</t>
        </is>
      </c>
    </row>
    <row r="318">
      <c r="A318" s="4" t="n">
        <v>315</v>
      </c>
      <c r="B318" s="5" t="inlineStr">
        <is>
          <t>PJ-2026-0315</t>
        </is>
      </c>
      <c r="C318" s="6" t="inlineStr">
        <is>
          <t>和平街供水管网更新工程（三期）</t>
        </is>
      </c>
      <c r="D318" s="4" t="inlineStr">
        <is>
          <t>胡涛</t>
        </is>
      </c>
      <c r="E318" s="7" t="n">
        <v>3468</v>
      </c>
      <c r="F318" s="7" t="n">
        <v>1768.68</v>
      </c>
      <c r="G318" s="7">
        <f>E318-F318</f>
        <v/>
      </c>
      <c r="H318" s="8">
        <f>IFERROR(F318/E318,0)</f>
        <v/>
      </c>
      <c r="I318" s="4">
        <f>IF(H318&gt;=1,"超预算",IF(H318&gt;=0.9,"预警","正常"))</f>
        <v/>
      </c>
      <c r="J318" s="4">
        <f>RANK(F318,$F$4:$F$1203,0)</f>
        <v/>
      </c>
      <c r="K318" s="4" t="inlineStr">
        <is>
          <t>完工</t>
        </is>
      </c>
    </row>
    <row r="319">
      <c r="A319" s="4" t="n">
        <v>316</v>
      </c>
      <c r="B319" s="5" t="inlineStr">
        <is>
          <t>PJ-2026-0316</t>
        </is>
      </c>
      <c r="C319" s="6" t="inlineStr">
        <is>
          <t>光明街河道综合整治工程（四期）</t>
        </is>
      </c>
      <c r="D319" s="4" t="inlineStr">
        <is>
          <t>郭刚</t>
        </is>
      </c>
      <c r="E319" s="7" t="n">
        <v>3605</v>
      </c>
      <c r="F319" s="7" t="n">
        <v>2884</v>
      </c>
      <c r="G319" s="7">
        <f>E319-F319</f>
        <v/>
      </c>
      <c r="H319" s="8">
        <f>IFERROR(F319/E319,0)</f>
        <v/>
      </c>
      <c r="I319" s="4">
        <f>IF(H319&gt;=1,"超预算",IF(H319&gt;=0.9,"预警","正常"))</f>
        <v/>
      </c>
      <c r="J319" s="4">
        <f>RANK(F319,$F$4:$F$1203,0)</f>
        <v/>
      </c>
      <c r="K319" s="4" t="inlineStr">
        <is>
          <t>在建</t>
        </is>
      </c>
    </row>
    <row r="320">
      <c r="A320" s="4" t="n">
        <v>317</v>
      </c>
      <c r="B320" s="5" t="inlineStr">
        <is>
          <t>PJ-2026-0317</t>
        </is>
      </c>
      <c r="C320" s="6" t="inlineStr">
        <is>
          <t>城东路学校新建工程</t>
        </is>
      </c>
      <c r="D320" s="4" t="inlineStr">
        <is>
          <t>何静</t>
        </is>
      </c>
      <c r="E320" s="7" t="n">
        <v>3742</v>
      </c>
      <c r="F320" s="7" t="n">
        <v>4078.78</v>
      </c>
      <c r="G320" s="7">
        <f>E320-F320</f>
        <v/>
      </c>
      <c r="H320" s="8">
        <f>IFERROR(F320/E320,0)</f>
        <v/>
      </c>
      <c r="I320" s="4">
        <f>IF(H320&gt;=1,"超预算",IF(H320&gt;=0.9,"预警","正常"))</f>
        <v/>
      </c>
      <c r="J320" s="4">
        <f>RANK(F320,$F$4:$F$1203,0)</f>
        <v/>
      </c>
      <c r="K320" s="4" t="inlineStr">
        <is>
          <t>待启动</t>
        </is>
      </c>
    </row>
    <row r="321">
      <c r="A321" s="4" t="n">
        <v>318</v>
      </c>
      <c r="B321" s="5" t="inlineStr">
        <is>
          <t>PJ-2026-0318</t>
        </is>
      </c>
      <c r="C321" s="6" t="inlineStr">
        <is>
          <t>解放路医院改扩建项目（二期）</t>
        </is>
      </c>
      <c r="D321" s="4" t="inlineStr">
        <is>
          <t>高艳</t>
        </is>
      </c>
      <c r="E321" s="7" t="n">
        <v>3879</v>
      </c>
      <c r="F321" s="7" t="n">
        <v>2637.72</v>
      </c>
      <c r="G321" s="7">
        <f>E321-F321</f>
        <v/>
      </c>
      <c r="H321" s="8">
        <f>IFERROR(F321/E321,0)</f>
        <v/>
      </c>
      <c r="I321" s="4">
        <f>IF(H321&gt;=1,"超预算",IF(H321&gt;=0.9,"预警","正常"))</f>
        <v/>
      </c>
      <c r="J321" s="4">
        <f>RANK(F321,$F$4:$F$1203,0)</f>
        <v/>
      </c>
      <c r="K321" s="4" t="inlineStr">
        <is>
          <t>完工</t>
        </is>
      </c>
    </row>
    <row r="322">
      <c r="A322" s="4" t="n">
        <v>319</v>
      </c>
      <c r="B322" s="5" t="inlineStr">
        <is>
          <t>PJ-2026-0319</t>
        </is>
      </c>
      <c r="C322" s="6" t="inlineStr">
        <is>
          <t>和平街公交枢纽建设工程（三期）</t>
        </is>
      </c>
      <c r="D322" s="4" t="inlineStr">
        <is>
          <t>林英</t>
        </is>
      </c>
      <c r="E322" s="7" t="n">
        <v>4016</v>
      </c>
      <c r="F322" s="7" t="n">
        <v>3895.52</v>
      </c>
      <c r="G322" s="7">
        <f>E322-F322</f>
        <v/>
      </c>
      <c r="H322" s="8">
        <f>IFERROR(F322/E322,0)</f>
        <v/>
      </c>
      <c r="I322" s="4">
        <f>IF(H322&gt;=1,"超预算",IF(H322&gt;=0.9,"预警","正常"))</f>
        <v/>
      </c>
      <c r="J322" s="4">
        <f>RANK(F322,$F$4:$F$1203,0)</f>
        <v/>
      </c>
      <c r="K322" s="4" t="inlineStr">
        <is>
          <t>在建</t>
        </is>
      </c>
    </row>
    <row r="323">
      <c r="A323" s="4" t="n">
        <v>320</v>
      </c>
      <c r="B323" s="5" t="inlineStr">
        <is>
          <t>PJ-2026-0320</t>
        </is>
      </c>
      <c r="C323" s="6" t="inlineStr">
        <is>
          <t>光明街公共停车场建设工程（四期）</t>
        </is>
      </c>
      <c r="D323" s="4" t="inlineStr">
        <is>
          <t>罗芳</t>
        </is>
      </c>
      <c r="E323" s="7" t="n">
        <v>4153</v>
      </c>
      <c r="F323" s="7" t="n">
        <v>2325.68</v>
      </c>
      <c r="G323" s="7">
        <f>E323-F323</f>
        <v/>
      </c>
      <c r="H323" s="8">
        <f>IFERROR(F323/E323,0)</f>
        <v/>
      </c>
      <c r="I323" s="4">
        <f>IF(H323&gt;=1,"超预算",IF(H323&gt;=0.9,"预警","正常"))</f>
        <v/>
      </c>
      <c r="J323" s="4">
        <f>RANK(F323,$F$4:$F$1203,0)</f>
        <v/>
      </c>
      <c r="K323" s="4" t="inlineStr">
        <is>
          <t>待启动</t>
        </is>
      </c>
    </row>
    <row r="324">
      <c r="A324" s="4" t="n">
        <v>321</v>
      </c>
      <c r="B324" s="5" t="inlineStr">
        <is>
          <t>PJ-2026-0321</t>
        </is>
      </c>
      <c r="C324" s="6" t="inlineStr">
        <is>
          <t>城东路道路改造工程</t>
        </is>
      </c>
      <c r="D324" s="4" t="inlineStr">
        <is>
          <t>张军</t>
        </is>
      </c>
      <c r="E324" s="7" t="n">
        <v>4290</v>
      </c>
      <c r="F324" s="7" t="n">
        <v>3646.5</v>
      </c>
      <c r="G324" s="7">
        <f>E324-F324</f>
        <v/>
      </c>
      <c r="H324" s="8">
        <f>IFERROR(F324/E324,0)</f>
        <v/>
      </c>
      <c r="I324" s="4">
        <f>IF(H324&gt;=1,"超预算",IF(H324&gt;=0.9,"预警","正常"))</f>
        <v/>
      </c>
      <c r="J324" s="4">
        <f>RANK(F324,$F$4:$F$1203,0)</f>
        <v/>
      </c>
      <c r="K324" s="4" t="inlineStr">
        <is>
          <t>完工</t>
        </is>
      </c>
    </row>
    <row r="325">
      <c r="A325" s="4" t="n">
        <v>322</v>
      </c>
      <c r="B325" s="5" t="inlineStr">
        <is>
          <t>PJ-2026-0322</t>
        </is>
      </c>
      <c r="C325" s="6" t="inlineStr">
        <is>
          <t>解放路老旧小区改造项目（二期）</t>
        </is>
      </c>
      <c r="D325" s="4" t="inlineStr">
        <is>
          <t>王明</t>
        </is>
      </c>
      <c r="E325" s="7" t="n">
        <v>4427</v>
      </c>
      <c r="F325" s="7" t="n">
        <v>5046.78</v>
      </c>
      <c r="G325" s="7">
        <f>E325-F325</f>
        <v/>
      </c>
      <c r="H325" s="8">
        <f>IFERROR(F325/E325,0)</f>
        <v/>
      </c>
      <c r="I325" s="4">
        <f>IF(H325&gt;=1,"超预算",IF(H325&gt;=0.9,"预警","正常"))</f>
        <v/>
      </c>
      <c r="J325" s="4">
        <f>RANK(F325,$F$4:$F$1203,0)</f>
        <v/>
      </c>
      <c r="K325" s="4" t="inlineStr">
        <is>
          <t>在建</t>
        </is>
      </c>
    </row>
    <row r="326">
      <c r="A326" s="4" t="n">
        <v>323</v>
      </c>
      <c r="B326" s="5" t="inlineStr">
        <is>
          <t>PJ-2026-0323</t>
        </is>
      </c>
      <c r="C326" s="6" t="inlineStr">
        <is>
          <t>和平街智慧园区建设项目（三期）</t>
        </is>
      </c>
      <c r="D326" s="4" t="inlineStr">
        <is>
          <t>李桂</t>
        </is>
      </c>
      <c r="E326" s="7" t="n">
        <v>4564</v>
      </c>
      <c r="F326" s="7" t="n">
        <v>3331.72</v>
      </c>
      <c r="G326" s="7">
        <f>E326-F326</f>
        <v/>
      </c>
      <c r="H326" s="8">
        <f>IFERROR(F326/E326,0)</f>
        <v/>
      </c>
      <c r="I326" s="4">
        <f>IF(H326&gt;=1,"超预算",IF(H326&gt;=0.9,"预警","正常"))</f>
        <v/>
      </c>
      <c r="J326" s="4">
        <f>RANK(F326,$F$4:$F$1203,0)</f>
        <v/>
      </c>
      <c r="K326" s="4" t="inlineStr">
        <is>
          <t>待启动</t>
        </is>
      </c>
    </row>
    <row r="327">
      <c r="A327" s="4" t="n">
        <v>324</v>
      </c>
      <c r="B327" s="5" t="inlineStr">
        <is>
          <t>PJ-2026-0324</t>
        </is>
      </c>
      <c r="C327" s="6" t="inlineStr">
        <is>
          <t>光明街污水处理扩容工程（四期）</t>
        </is>
      </c>
      <c r="D327" s="4" t="inlineStr">
        <is>
          <t>赵丽</t>
        </is>
      </c>
      <c r="E327" s="7" t="n">
        <v>4701</v>
      </c>
      <c r="F327" s="7" t="n">
        <v>4795.02</v>
      </c>
      <c r="G327" s="7">
        <f>E327-F327</f>
        <v/>
      </c>
      <c r="H327" s="8">
        <f>IFERROR(F327/E327,0)</f>
        <v/>
      </c>
      <c r="I327" s="4">
        <f>IF(H327&gt;=1,"超预算",IF(H327&gt;=0.9,"预警","正常"))</f>
        <v/>
      </c>
      <c r="J327" s="4">
        <f>RANK(F327,$F$4:$F$1203,0)</f>
        <v/>
      </c>
      <c r="K327" s="4" t="inlineStr">
        <is>
          <t>完工</t>
        </is>
      </c>
    </row>
    <row r="328">
      <c r="A328" s="4" t="n">
        <v>325</v>
      </c>
      <c r="B328" s="5" t="inlineStr">
        <is>
          <t>PJ-2026-0325</t>
        </is>
      </c>
      <c r="C328" s="6" t="inlineStr">
        <is>
          <t>城东路供水管网更新工程</t>
        </is>
      </c>
      <c r="D328" s="4" t="inlineStr">
        <is>
          <t>刘杰</t>
        </is>
      </c>
      <c r="E328" s="7" t="n">
        <v>4838</v>
      </c>
      <c r="F328" s="7" t="n">
        <v>2951.18</v>
      </c>
      <c r="G328" s="7">
        <f>E328-F328</f>
        <v/>
      </c>
      <c r="H328" s="8">
        <f>IFERROR(F328/E328,0)</f>
        <v/>
      </c>
      <c r="I328" s="4">
        <f>IF(H328&gt;=1,"超预算",IF(H328&gt;=0.9,"预警","正常"))</f>
        <v/>
      </c>
      <c r="J328" s="4">
        <f>RANK(F328,$F$4:$F$1203,0)</f>
        <v/>
      </c>
      <c r="K328" s="4" t="inlineStr">
        <is>
          <t>在建</t>
        </is>
      </c>
    </row>
    <row r="329">
      <c r="A329" s="4" t="n">
        <v>326</v>
      </c>
      <c r="B329" s="5" t="inlineStr">
        <is>
          <t>PJ-2026-0326</t>
        </is>
      </c>
      <c r="C329" s="6" t="inlineStr">
        <is>
          <t>解放路河道综合整治工程（二期）</t>
        </is>
      </c>
      <c r="D329" s="4" t="inlineStr">
        <is>
          <t>陈霞</t>
        </is>
      </c>
      <c r="E329" s="7" t="n">
        <v>4975</v>
      </c>
      <c r="F329" s="7" t="n">
        <v>4477.5</v>
      </c>
      <c r="G329" s="7">
        <f>E329-F329</f>
        <v/>
      </c>
      <c r="H329" s="8">
        <f>IFERROR(F329/E329,0)</f>
        <v/>
      </c>
      <c r="I329" s="4">
        <f>IF(H329&gt;=1,"超预算",IF(H329&gt;=0.9,"预警","正常"))</f>
        <v/>
      </c>
      <c r="J329" s="4">
        <f>RANK(F329,$F$4:$F$1203,0)</f>
        <v/>
      </c>
      <c r="K329" s="4" t="inlineStr">
        <is>
          <t>待启动</t>
        </is>
      </c>
    </row>
    <row r="330">
      <c r="A330" s="4" t="n">
        <v>327</v>
      </c>
      <c r="B330" s="5" t="inlineStr">
        <is>
          <t>PJ-2026-0327</t>
        </is>
      </c>
      <c r="C330" s="6" t="inlineStr">
        <is>
          <t>和平街学校新建工程（三期）</t>
        </is>
      </c>
      <c r="D330" s="4" t="inlineStr">
        <is>
          <t>杨娜</t>
        </is>
      </c>
      <c r="E330" s="7" t="n">
        <v>162</v>
      </c>
      <c r="F330" s="7" t="n">
        <v>79.38</v>
      </c>
      <c r="G330" s="7">
        <f>E330-F330</f>
        <v/>
      </c>
      <c r="H330" s="8">
        <f>IFERROR(F330/E330,0)</f>
        <v/>
      </c>
      <c r="I330" s="4">
        <f>IF(H330&gt;=1,"超预算",IF(H330&gt;=0.9,"预警","正常"))</f>
        <v/>
      </c>
      <c r="J330" s="4">
        <f>RANK(F330,$F$4:$F$1203,0)</f>
        <v/>
      </c>
      <c r="K330" s="4" t="inlineStr">
        <is>
          <t>完工</t>
        </is>
      </c>
    </row>
    <row r="331">
      <c r="A331" s="4" t="n">
        <v>328</v>
      </c>
      <c r="B331" s="5" t="inlineStr">
        <is>
          <t>PJ-2026-0328</t>
        </is>
      </c>
      <c r="C331" s="6" t="inlineStr">
        <is>
          <t>光明街医院改扩建项目（四期）</t>
        </is>
      </c>
      <c r="D331" s="4" t="inlineStr">
        <is>
          <t>黄洋</t>
        </is>
      </c>
      <c r="E331" s="7" t="n">
        <v>299</v>
      </c>
      <c r="F331" s="7" t="n">
        <v>233.22</v>
      </c>
      <c r="G331" s="7">
        <f>E331-F331</f>
        <v/>
      </c>
      <c r="H331" s="8">
        <f>IFERROR(F331/E331,0)</f>
        <v/>
      </c>
      <c r="I331" s="4">
        <f>IF(H331&gt;=1,"超预算",IF(H331&gt;=0.9,"预警","正常"))</f>
        <v/>
      </c>
      <c r="J331" s="4">
        <f>RANK(F331,$F$4:$F$1203,0)</f>
        <v/>
      </c>
      <c r="K331" s="4" t="inlineStr">
        <is>
          <t>在建</t>
        </is>
      </c>
    </row>
    <row r="332">
      <c r="A332" s="4" t="n">
        <v>329</v>
      </c>
      <c r="B332" s="5" t="inlineStr">
        <is>
          <t>PJ-2026-0329</t>
        </is>
      </c>
      <c r="C332" s="6" t="inlineStr">
        <is>
          <t>城东路公交枢纽建设工程</t>
        </is>
      </c>
      <c r="D332" s="4" t="inlineStr">
        <is>
          <t>周超</t>
        </is>
      </c>
      <c r="E332" s="7" t="n">
        <v>436</v>
      </c>
      <c r="F332" s="7" t="n">
        <v>466.52</v>
      </c>
      <c r="G332" s="7">
        <f>E332-F332</f>
        <v/>
      </c>
      <c r="H332" s="8">
        <f>IFERROR(F332/E332,0)</f>
        <v/>
      </c>
      <c r="I332" s="4">
        <f>IF(H332&gt;=1,"超预算",IF(H332&gt;=0.9,"预警","正常"))</f>
        <v/>
      </c>
      <c r="J332" s="4">
        <f>RANK(F332,$F$4:$F$1203,0)</f>
        <v/>
      </c>
      <c r="K332" s="4" t="inlineStr">
        <is>
          <t>待启动</t>
        </is>
      </c>
    </row>
    <row r="333">
      <c r="A333" s="4" t="n">
        <v>330</v>
      </c>
      <c r="B333" s="5" t="inlineStr">
        <is>
          <t>PJ-2026-0330</t>
        </is>
      </c>
      <c r="C333" s="6" t="inlineStr">
        <is>
          <t>解放路公共停车场建设工程（二期）</t>
        </is>
      </c>
      <c r="D333" s="4" t="inlineStr">
        <is>
          <t>吴英</t>
        </is>
      </c>
      <c r="E333" s="7" t="n">
        <v>573</v>
      </c>
      <c r="F333" s="7" t="n">
        <v>378.18</v>
      </c>
      <c r="G333" s="7">
        <f>E333-F333</f>
        <v/>
      </c>
      <c r="H333" s="8">
        <f>IFERROR(F333/E333,0)</f>
        <v/>
      </c>
      <c r="I333" s="4">
        <f>IF(H333&gt;=1,"超预算",IF(H333&gt;=0.9,"预警","正常"))</f>
        <v/>
      </c>
      <c r="J333" s="4">
        <f>RANK(F333,$F$4:$F$1203,0)</f>
        <v/>
      </c>
      <c r="K333" s="4" t="inlineStr">
        <is>
          <t>完工</t>
        </is>
      </c>
    </row>
    <row r="334">
      <c r="A334" s="4" t="n">
        <v>331</v>
      </c>
      <c r="B334" s="5" t="inlineStr">
        <is>
          <t>PJ-2026-0331</t>
        </is>
      </c>
      <c r="C334" s="6" t="inlineStr">
        <is>
          <t>和平街道路改造工程（三期）</t>
        </is>
      </c>
      <c r="D334" s="4" t="inlineStr">
        <is>
          <t>徐强</t>
        </is>
      </c>
      <c r="E334" s="7" t="n">
        <v>710</v>
      </c>
      <c r="F334" s="7" t="n">
        <v>674.5</v>
      </c>
      <c r="G334" s="7">
        <f>E334-F334</f>
        <v/>
      </c>
      <c r="H334" s="8">
        <f>IFERROR(F334/E334,0)</f>
        <v/>
      </c>
      <c r="I334" s="4">
        <f>IF(H334&gt;=1,"超预算",IF(H334&gt;=0.9,"预警","正常"))</f>
        <v/>
      </c>
      <c r="J334" s="4">
        <f>RANK(F334,$F$4:$F$1203,0)</f>
        <v/>
      </c>
      <c r="K334" s="4" t="inlineStr">
        <is>
          <t>在建</t>
        </is>
      </c>
    </row>
    <row r="335">
      <c r="A335" s="4" t="n">
        <v>332</v>
      </c>
      <c r="B335" s="5" t="inlineStr">
        <is>
          <t>PJ-2026-0332</t>
        </is>
      </c>
      <c r="C335" s="6" t="inlineStr">
        <is>
          <t>光明街老旧小区改造项目（四期）</t>
        </is>
      </c>
      <c r="D335" s="4" t="inlineStr">
        <is>
          <t>孙娟</t>
        </is>
      </c>
      <c r="E335" s="7" t="n">
        <v>847</v>
      </c>
      <c r="F335" s="7" t="n">
        <v>457.38</v>
      </c>
      <c r="G335" s="7">
        <f>E335-F335</f>
        <v/>
      </c>
      <c r="H335" s="8">
        <f>IFERROR(F335/E335,0)</f>
        <v/>
      </c>
      <c r="I335" s="4">
        <f>IF(H335&gt;=1,"超预算",IF(H335&gt;=0.9,"预警","正常"))</f>
        <v/>
      </c>
      <c r="J335" s="4">
        <f>RANK(F335,$F$4:$F$1203,0)</f>
        <v/>
      </c>
      <c r="K335" s="4" t="inlineStr">
        <is>
          <t>待启动</t>
        </is>
      </c>
    </row>
    <row r="336">
      <c r="A336" s="4" t="n">
        <v>333</v>
      </c>
      <c r="B336" s="5" t="inlineStr">
        <is>
          <t>PJ-2026-0333</t>
        </is>
      </c>
      <c r="C336" s="6" t="inlineStr">
        <is>
          <t>城东路智慧园区建设项目</t>
        </is>
      </c>
      <c r="D336" s="4" t="inlineStr">
        <is>
          <t>马平</t>
        </is>
      </c>
      <c r="E336" s="7" t="n">
        <v>984</v>
      </c>
      <c r="F336" s="7" t="n">
        <v>816.72</v>
      </c>
      <c r="G336" s="7">
        <f>E336-F336</f>
        <v/>
      </c>
      <c r="H336" s="8">
        <f>IFERROR(F336/E336,0)</f>
        <v/>
      </c>
      <c r="I336" s="4">
        <f>IF(H336&gt;=1,"超预算",IF(H336&gt;=0.9,"预警","正常"))</f>
        <v/>
      </c>
      <c r="J336" s="4">
        <f>RANK(F336,$F$4:$F$1203,0)</f>
        <v/>
      </c>
      <c r="K336" s="4" t="inlineStr">
        <is>
          <t>完工</t>
        </is>
      </c>
    </row>
    <row r="337">
      <c r="A337" s="4" t="n">
        <v>334</v>
      </c>
      <c r="B337" s="5" t="inlineStr">
        <is>
          <t>PJ-2026-0334</t>
        </is>
      </c>
      <c r="C337" s="6" t="inlineStr">
        <is>
          <t>解放路污水处理扩容工程（二期）</t>
        </is>
      </c>
      <c r="D337" s="4" t="inlineStr">
        <is>
          <t>朱敏</t>
        </is>
      </c>
      <c r="E337" s="7" t="n">
        <v>1121</v>
      </c>
      <c r="F337" s="7" t="n">
        <v>1255.52</v>
      </c>
      <c r="G337" s="7">
        <f>E337-F337</f>
        <v/>
      </c>
      <c r="H337" s="8">
        <f>IFERROR(F337/E337,0)</f>
        <v/>
      </c>
      <c r="I337" s="4">
        <f>IF(H337&gt;=1,"超预算",IF(H337&gt;=0.9,"预警","正常"))</f>
        <v/>
      </c>
      <c r="J337" s="4">
        <f>RANK(F337,$F$4:$F$1203,0)</f>
        <v/>
      </c>
      <c r="K337" s="4" t="inlineStr">
        <is>
          <t>在建</t>
        </is>
      </c>
    </row>
    <row r="338">
      <c r="A338" s="4" t="n">
        <v>335</v>
      </c>
      <c r="B338" s="5" t="inlineStr">
        <is>
          <t>PJ-2026-0335</t>
        </is>
      </c>
      <c r="C338" s="6" t="inlineStr">
        <is>
          <t>和平街供水管网更新工程（三期）</t>
        </is>
      </c>
      <c r="D338" s="4" t="inlineStr">
        <is>
          <t>胡勇</t>
        </is>
      </c>
      <c r="E338" s="7" t="n">
        <v>1258</v>
      </c>
      <c r="F338" s="7" t="n">
        <v>893.1799999999999</v>
      </c>
      <c r="G338" s="7">
        <f>E338-F338</f>
        <v/>
      </c>
      <c r="H338" s="8">
        <f>IFERROR(F338/E338,0)</f>
        <v/>
      </c>
      <c r="I338" s="4">
        <f>IF(H338&gt;=1,"超预算",IF(H338&gt;=0.9,"预警","正常"))</f>
        <v/>
      </c>
      <c r="J338" s="4">
        <f>RANK(F338,$F$4:$F$1203,0)</f>
        <v/>
      </c>
      <c r="K338" s="4" t="inlineStr">
        <is>
          <t>待启动</t>
        </is>
      </c>
    </row>
    <row r="339">
      <c r="A339" s="4" t="n">
        <v>336</v>
      </c>
      <c r="B339" s="5" t="inlineStr">
        <is>
          <t>PJ-2026-0336</t>
        </is>
      </c>
      <c r="C339" s="6" t="inlineStr">
        <is>
          <t>光明街河道综合整治工程（四期）</t>
        </is>
      </c>
      <c r="D339" s="4" t="inlineStr">
        <is>
          <t>郭秀</t>
        </is>
      </c>
      <c r="E339" s="7" t="n">
        <v>1395</v>
      </c>
      <c r="F339" s="7" t="n">
        <v>1395</v>
      </c>
      <c r="G339" s="7">
        <f>E339-F339</f>
        <v/>
      </c>
      <c r="H339" s="8">
        <f>IFERROR(F339/E339,0)</f>
        <v/>
      </c>
      <c r="I339" s="4">
        <f>IF(H339&gt;=1,"超预算",IF(H339&gt;=0.9,"预警","正常"))</f>
        <v/>
      </c>
      <c r="J339" s="4">
        <f>RANK(F339,$F$4:$F$1203,0)</f>
        <v/>
      </c>
      <c r="K339" s="4" t="inlineStr">
        <is>
          <t>完工</t>
        </is>
      </c>
    </row>
    <row r="340">
      <c r="A340" s="4" t="n">
        <v>337</v>
      </c>
      <c r="B340" s="5" t="inlineStr">
        <is>
          <t>PJ-2026-0337</t>
        </is>
      </c>
      <c r="C340" s="6" t="inlineStr">
        <is>
          <t>城东路学校新建工程</t>
        </is>
      </c>
      <c r="D340" s="4" t="inlineStr">
        <is>
          <t>何伟</t>
        </is>
      </c>
      <c r="E340" s="7" t="n">
        <v>1532</v>
      </c>
      <c r="F340" s="7" t="n">
        <v>903.88</v>
      </c>
      <c r="G340" s="7">
        <f>E340-F340</f>
        <v/>
      </c>
      <c r="H340" s="8">
        <f>IFERROR(F340/E340,0)</f>
        <v/>
      </c>
      <c r="I340" s="4">
        <f>IF(H340&gt;=1,"超预算",IF(H340&gt;=0.9,"预警","正常"))</f>
        <v/>
      </c>
      <c r="J340" s="4">
        <f>RANK(F340,$F$4:$F$1203,0)</f>
        <v/>
      </c>
      <c r="K340" s="4" t="inlineStr">
        <is>
          <t>在建</t>
        </is>
      </c>
    </row>
    <row r="341">
      <c r="A341" s="4" t="n">
        <v>338</v>
      </c>
      <c r="B341" s="5" t="inlineStr">
        <is>
          <t>PJ-2026-0338</t>
        </is>
      </c>
      <c r="C341" s="6" t="inlineStr">
        <is>
          <t>解放路医院改扩建项目（二期）</t>
        </is>
      </c>
      <c r="D341" s="4" t="inlineStr">
        <is>
          <t>高磊</t>
        </is>
      </c>
      <c r="E341" s="7" t="n">
        <v>1669</v>
      </c>
      <c r="F341" s="7" t="n">
        <v>1468.72</v>
      </c>
      <c r="G341" s="7">
        <f>E341-F341</f>
        <v/>
      </c>
      <c r="H341" s="8">
        <f>IFERROR(F341/E341,0)</f>
        <v/>
      </c>
      <c r="I341" s="4">
        <f>IF(H341&gt;=1,"超预算",IF(H341&gt;=0.9,"预警","正常"))</f>
        <v/>
      </c>
      <c r="J341" s="4">
        <f>RANK(F341,$F$4:$F$1203,0)</f>
        <v/>
      </c>
      <c r="K341" s="4" t="inlineStr">
        <is>
          <t>待启动</t>
        </is>
      </c>
    </row>
    <row r="342">
      <c r="A342" s="4" t="n">
        <v>339</v>
      </c>
      <c r="B342" s="5" t="inlineStr">
        <is>
          <t>PJ-2026-0339</t>
        </is>
      </c>
      <c r="C342" s="6" t="inlineStr">
        <is>
          <t>和平街公交枢纽建设工程（三期）</t>
        </is>
      </c>
      <c r="D342" s="4" t="inlineStr">
        <is>
          <t>林涛</t>
        </is>
      </c>
      <c r="E342" s="7" t="n">
        <v>1806</v>
      </c>
      <c r="F342" s="7" t="n">
        <v>848.8200000000001</v>
      </c>
      <c r="G342" s="7">
        <f>E342-F342</f>
        <v/>
      </c>
      <c r="H342" s="8">
        <f>IFERROR(F342/E342,0)</f>
        <v/>
      </c>
      <c r="I342" s="4">
        <f>IF(H342&gt;=1,"超预算",IF(H342&gt;=0.9,"预警","正常"))</f>
        <v/>
      </c>
      <c r="J342" s="4">
        <f>RANK(F342,$F$4:$F$1203,0)</f>
        <v/>
      </c>
      <c r="K342" s="4" t="inlineStr">
        <is>
          <t>完工</t>
        </is>
      </c>
    </row>
    <row r="343">
      <c r="A343" s="4" t="n">
        <v>340</v>
      </c>
      <c r="B343" s="5" t="inlineStr">
        <is>
          <t>PJ-2026-0340</t>
        </is>
      </c>
      <c r="C343" s="6" t="inlineStr">
        <is>
          <t>光明街公共停车场建设工程（四期）</t>
        </is>
      </c>
      <c r="D343" s="4" t="inlineStr">
        <is>
          <t>罗刚</t>
        </is>
      </c>
      <c r="E343" s="7" t="n">
        <v>1943</v>
      </c>
      <c r="F343" s="7" t="n">
        <v>1476.68</v>
      </c>
      <c r="G343" s="7">
        <f>E343-F343</f>
        <v/>
      </c>
      <c r="H343" s="8">
        <f>IFERROR(F343/E343,0)</f>
        <v/>
      </c>
      <c r="I343" s="4">
        <f>IF(H343&gt;=1,"超预算",IF(H343&gt;=0.9,"预警","正常"))</f>
        <v/>
      </c>
      <c r="J343" s="4">
        <f>RANK(F343,$F$4:$F$1203,0)</f>
        <v/>
      </c>
      <c r="K343" s="4" t="inlineStr">
        <is>
          <t>在建</t>
        </is>
      </c>
    </row>
    <row r="344">
      <c r="A344" s="4" t="n">
        <v>341</v>
      </c>
      <c r="B344" s="5" t="inlineStr">
        <is>
          <t>PJ-2026-0341</t>
        </is>
      </c>
      <c r="C344" s="6" t="inlineStr">
        <is>
          <t>城东路道路改造工程</t>
        </is>
      </c>
      <c r="D344" s="4" t="inlineStr">
        <is>
          <t>张静</t>
        </is>
      </c>
      <c r="E344" s="7" t="n">
        <v>2080</v>
      </c>
      <c r="F344" s="7" t="n">
        <v>2184</v>
      </c>
      <c r="G344" s="7">
        <f>E344-F344</f>
        <v/>
      </c>
      <c r="H344" s="8">
        <f>IFERROR(F344/E344,0)</f>
        <v/>
      </c>
      <c r="I344" s="4">
        <f>IF(H344&gt;=1,"超预算",IF(H344&gt;=0.9,"预警","正常"))</f>
        <v/>
      </c>
      <c r="J344" s="4">
        <f>RANK(F344,$F$4:$F$1203,0)</f>
        <v/>
      </c>
      <c r="K344" s="4" t="inlineStr">
        <is>
          <t>待启动</t>
        </is>
      </c>
    </row>
    <row r="345">
      <c r="A345" s="4" t="n">
        <v>342</v>
      </c>
      <c r="B345" s="5" t="inlineStr">
        <is>
          <t>PJ-2026-0342</t>
        </is>
      </c>
      <c r="C345" s="6" t="inlineStr">
        <is>
          <t>解放路老旧小区改造项目（二期）</t>
        </is>
      </c>
      <c r="D345" s="4" t="inlineStr">
        <is>
          <t>王艳</t>
        </is>
      </c>
      <c r="E345" s="7" t="n">
        <v>2217</v>
      </c>
      <c r="F345" s="7" t="n">
        <v>1418.88</v>
      </c>
      <c r="G345" s="7">
        <f>E345-F345</f>
        <v/>
      </c>
      <c r="H345" s="8">
        <f>IFERROR(F345/E345,0)</f>
        <v/>
      </c>
      <c r="I345" s="4">
        <f>IF(H345&gt;=1,"超预算",IF(H345&gt;=0.9,"预警","正常"))</f>
        <v/>
      </c>
      <c r="J345" s="4">
        <f>RANK(F345,$F$4:$F$1203,0)</f>
        <v/>
      </c>
      <c r="K345" s="4" t="inlineStr">
        <is>
          <t>完工</t>
        </is>
      </c>
    </row>
    <row r="346">
      <c r="A346" s="4" t="n">
        <v>343</v>
      </c>
      <c r="B346" s="5" t="inlineStr">
        <is>
          <t>PJ-2026-0343</t>
        </is>
      </c>
      <c r="C346" s="6" t="inlineStr">
        <is>
          <t>和平街智慧园区建设项目（三期）</t>
        </is>
      </c>
      <c r="D346" s="4" t="inlineStr">
        <is>
          <t>李英</t>
        </is>
      </c>
      <c r="E346" s="7" t="n">
        <v>2354</v>
      </c>
      <c r="F346" s="7" t="n">
        <v>2189.22</v>
      </c>
      <c r="G346" s="7">
        <f>E346-F346</f>
        <v/>
      </c>
      <c r="H346" s="8">
        <f>IFERROR(F346/E346,0)</f>
        <v/>
      </c>
      <c r="I346" s="4">
        <f>IF(H346&gt;=1,"超预算",IF(H346&gt;=0.9,"预警","正常"))</f>
        <v/>
      </c>
      <c r="J346" s="4">
        <f>RANK(F346,$F$4:$F$1203,0)</f>
        <v/>
      </c>
      <c r="K346" s="4" t="inlineStr">
        <is>
          <t>在建</t>
        </is>
      </c>
    </row>
    <row r="347">
      <c r="A347" s="4" t="n">
        <v>344</v>
      </c>
      <c r="B347" s="5" t="inlineStr">
        <is>
          <t>PJ-2026-0344</t>
        </is>
      </c>
      <c r="C347" s="6" t="inlineStr">
        <is>
          <t>光明街污水处理扩容工程（四期）</t>
        </is>
      </c>
      <c r="D347" s="4" t="inlineStr">
        <is>
          <t>赵芳</t>
        </is>
      </c>
      <c r="E347" s="7" t="n">
        <v>2491</v>
      </c>
      <c r="F347" s="7" t="n">
        <v>1295.32</v>
      </c>
      <c r="G347" s="7">
        <f>E347-F347</f>
        <v/>
      </c>
      <c r="H347" s="8">
        <f>IFERROR(F347/E347,0)</f>
        <v/>
      </c>
      <c r="I347" s="4">
        <f>IF(H347&gt;=1,"超预算",IF(H347&gt;=0.9,"预警","正常"))</f>
        <v/>
      </c>
      <c r="J347" s="4">
        <f>RANK(F347,$F$4:$F$1203,0)</f>
        <v/>
      </c>
      <c r="K347" s="4" t="inlineStr">
        <is>
          <t>待启动</t>
        </is>
      </c>
    </row>
    <row r="348">
      <c r="A348" s="4" t="n">
        <v>345</v>
      </c>
      <c r="B348" s="5" t="inlineStr">
        <is>
          <t>PJ-2026-0345</t>
        </is>
      </c>
      <c r="C348" s="6" t="inlineStr">
        <is>
          <t>城东路供水管网更新工程</t>
        </is>
      </c>
      <c r="D348" s="4" t="inlineStr">
        <is>
          <t>刘军</t>
        </is>
      </c>
      <c r="E348" s="7" t="n">
        <v>2628</v>
      </c>
      <c r="F348" s="7" t="n">
        <v>2128.68</v>
      </c>
      <c r="G348" s="7">
        <f>E348-F348</f>
        <v/>
      </c>
      <c r="H348" s="8">
        <f>IFERROR(F348/E348,0)</f>
        <v/>
      </c>
      <c r="I348" s="4">
        <f>IF(H348&gt;=1,"超预算",IF(H348&gt;=0.9,"预警","正常"))</f>
        <v/>
      </c>
      <c r="J348" s="4">
        <f>RANK(F348,$F$4:$F$1203,0)</f>
        <v/>
      </c>
      <c r="K348" s="4" t="inlineStr">
        <is>
          <t>完工</t>
        </is>
      </c>
    </row>
    <row r="349">
      <c r="A349" s="4" t="n">
        <v>346</v>
      </c>
      <c r="B349" s="5" t="inlineStr">
        <is>
          <t>PJ-2026-0346</t>
        </is>
      </c>
      <c r="C349" s="6" t="inlineStr">
        <is>
          <t>解放路河道综合整治工程（二期）</t>
        </is>
      </c>
      <c r="D349" s="4" t="inlineStr">
        <is>
          <t>陈明</t>
        </is>
      </c>
      <c r="E349" s="7" t="n">
        <v>2765</v>
      </c>
      <c r="F349" s="7" t="n">
        <v>3041.5</v>
      </c>
      <c r="G349" s="7">
        <f>E349-F349</f>
        <v/>
      </c>
      <c r="H349" s="8">
        <f>IFERROR(F349/E349,0)</f>
        <v/>
      </c>
      <c r="I349" s="4">
        <f>IF(H349&gt;=1,"超预算",IF(H349&gt;=0.9,"预警","正常"))</f>
        <v/>
      </c>
      <c r="J349" s="4">
        <f>RANK(F349,$F$4:$F$1203,0)</f>
        <v/>
      </c>
      <c r="K349" s="4" t="inlineStr">
        <is>
          <t>在建</t>
        </is>
      </c>
    </row>
    <row r="350">
      <c r="A350" s="4" t="n">
        <v>347</v>
      </c>
      <c r="B350" s="5" t="inlineStr">
        <is>
          <t>PJ-2026-0347</t>
        </is>
      </c>
      <c r="C350" s="6" t="inlineStr">
        <is>
          <t>和平街学校新建工程（三期）</t>
        </is>
      </c>
      <c r="D350" s="4" t="inlineStr">
        <is>
          <t>杨桂</t>
        </is>
      </c>
      <c r="E350" s="7" t="n">
        <v>2902</v>
      </c>
      <c r="F350" s="7" t="n">
        <v>2002.38</v>
      </c>
      <c r="G350" s="7">
        <f>E350-F350</f>
        <v/>
      </c>
      <c r="H350" s="8">
        <f>IFERROR(F350/E350,0)</f>
        <v/>
      </c>
      <c r="I350" s="4">
        <f>IF(H350&gt;=1,"超预算",IF(H350&gt;=0.9,"预警","正常"))</f>
        <v/>
      </c>
      <c r="J350" s="4">
        <f>RANK(F350,$F$4:$F$1203,0)</f>
        <v/>
      </c>
      <c r="K350" s="4" t="inlineStr">
        <is>
          <t>待启动</t>
        </is>
      </c>
    </row>
    <row r="351">
      <c r="A351" s="4" t="n">
        <v>348</v>
      </c>
      <c r="B351" s="5" t="inlineStr">
        <is>
          <t>PJ-2026-0348</t>
        </is>
      </c>
      <c r="C351" s="6" t="inlineStr">
        <is>
          <t>光明街医院改扩建项目（四期）</t>
        </is>
      </c>
      <c r="D351" s="4" t="inlineStr">
        <is>
          <t>黄丽</t>
        </is>
      </c>
      <c r="E351" s="7" t="n">
        <v>3039</v>
      </c>
      <c r="F351" s="7" t="n">
        <v>2978.22</v>
      </c>
      <c r="G351" s="7">
        <f>E351-F351</f>
        <v/>
      </c>
      <c r="H351" s="8">
        <f>IFERROR(F351/E351,0)</f>
        <v/>
      </c>
      <c r="I351" s="4">
        <f>IF(H351&gt;=1,"超预算",IF(H351&gt;=0.9,"预警","正常"))</f>
        <v/>
      </c>
      <c r="J351" s="4">
        <f>RANK(F351,$F$4:$F$1203,0)</f>
        <v/>
      </c>
      <c r="K351" s="4" t="inlineStr">
        <is>
          <t>完工</t>
        </is>
      </c>
    </row>
    <row r="352">
      <c r="A352" s="4" t="n">
        <v>349</v>
      </c>
      <c r="B352" s="5" t="inlineStr">
        <is>
          <t>PJ-2026-0349</t>
        </is>
      </c>
      <c r="C352" s="6" t="inlineStr">
        <is>
          <t>城东路公交枢纽建设工程</t>
        </is>
      </c>
      <c r="D352" s="4" t="inlineStr">
        <is>
          <t>周杰</t>
        </is>
      </c>
      <c r="E352" s="7" t="n">
        <v>3176</v>
      </c>
      <c r="F352" s="7" t="n">
        <v>1810.32</v>
      </c>
      <c r="G352" s="7">
        <f>E352-F352</f>
        <v/>
      </c>
      <c r="H352" s="8">
        <f>IFERROR(F352/E352,0)</f>
        <v/>
      </c>
      <c r="I352" s="4">
        <f>IF(H352&gt;=1,"超预算",IF(H352&gt;=0.9,"预警","正常"))</f>
        <v/>
      </c>
      <c r="J352" s="4">
        <f>RANK(F352,$F$4:$F$1203,0)</f>
        <v/>
      </c>
      <c r="K352" s="4" t="inlineStr">
        <is>
          <t>在建</t>
        </is>
      </c>
    </row>
    <row r="353">
      <c r="A353" s="4" t="n">
        <v>350</v>
      </c>
      <c r="B353" s="5" t="inlineStr">
        <is>
          <t>PJ-2026-0350</t>
        </is>
      </c>
      <c r="C353" s="6" t="inlineStr">
        <is>
          <t>解放路公共停车场建设工程（二期）</t>
        </is>
      </c>
      <c r="D353" s="4" t="inlineStr">
        <is>
          <t>吴霞</t>
        </is>
      </c>
      <c r="E353" s="7" t="n">
        <v>3313</v>
      </c>
      <c r="F353" s="7" t="n">
        <v>2849.18</v>
      </c>
      <c r="G353" s="7">
        <f>E353-F353</f>
        <v/>
      </c>
      <c r="H353" s="8">
        <f>IFERROR(F353/E353,0)</f>
        <v/>
      </c>
      <c r="I353" s="4">
        <f>IF(H353&gt;=1,"超预算",IF(H353&gt;=0.9,"预警","正常"))</f>
        <v/>
      </c>
      <c r="J353" s="4">
        <f>RANK(F353,$F$4:$F$1203,0)</f>
        <v/>
      </c>
      <c r="K353" s="4" t="inlineStr">
        <is>
          <t>待启动</t>
        </is>
      </c>
    </row>
    <row r="354">
      <c r="A354" s="4" t="n">
        <v>351</v>
      </c>
      <c r="B354" s="5" t="inlineStr">
        <is>
          <t>PJ-2026-0351</t>
        </is>
      </c>
      <c r="C354" s="6" t="inlineStr">
        <is>
          <t>和平街道路改造工程（三期）</t>
        </is>
      </c>
      <c r="D354" s="4" t="inlineStr">
        <is>
          <t>徐娜</t>
        </is>
      </c>
      <c r="E354" s="7" t="n">
        <v>3450</v>
      </c>
      <c r="F354" s="7" t="n">
        <v>1552.5</v>
      </c>
      <c r="G354" s="7">
        <f>E354-F354</f>
        <v/>
      </c>
      <c r="H354" s="8">
        <f>IFERROR(F354/E354,0)</f>
        <v/>
      </c>
      <c r="I354" s="4">
        <f>IF(H354&gt;=1,"超预算",IF(H354&gt;=0.9,"预警","正常"))</f>
        <v/>
      </c>
      <c r="J354" s="4">
        <f>RANK(F354,$F$4:$F$1203,0)</f>
        <v/>
      </c>
      <c r="K354" s="4" t="inlineStr">
        <is>
          <t>完工</t>
        </is>
      </c>
    </row>
    <row r="355">
      <c r="A355" s="4" t="n">
        <v>352</v>
      </c>
      <c r="B355" s="5" t="inlineStr">
        <is>
          <t>PJ-2026-0352</t>
        </is>
      </c>
      <c r="C355" s="6" t="inlineStr">
        <is>
          <t>光明街老旧小区改造项目（四期）</t>
        </is>
      </c>
      <c r="D355" s="4" t="inlineStr">
        <is>
          <t>孙洋</t>
        </is>
      </c>
      <c r="E355" s="7" t="n">
        <v>3587</v>
      </c>
      <c r="F355" s="7" t="n">
        <v>2654.38</v>
      </c>
      <c r="G355" s="7">
        <f>E355-F355</f>
        <v/>
      </c>
      <c r="H355" s="8">
        <f>IFERROR(F355/E355,0)</f>
        <v/>
      </c>
      <c r="I355" s="4">
        <f>IF(H355&gt;=1,"超预算",IF(H355&gt;=0.9,"预警","正常"))</f>
        <v/>
      </c>
      <c r="J355" s="4">
        <f>RANK(F355,$F$4:$F$1203,0)</f>
        <v/>
      </c>
      <c r="K355" s="4" t="inlineStr">
        <is>
          <t>在建</t>
        </is>
      </c>
    </row>
    <row r="356">
      <c r="A356" s="4" t="n">
        <v>353</v>
      </c>
      <c r="B356" s="5" t="inlineStr">
        <is>
          <t>PJ-2026-0353</t>
        </is>
      </c>
      <c r="C356" s="6" t="inlineStr">
        <is>
          <t>城东路智慧园区建设项目</t>
        </is>
      </c>
      <c r="D356" s="4" t="inlineStr">
        <is>
          <t>马超</t>
        </is>
      </c>
      <c r="E356" s="7" t="n">
        <v>3724</v>
      </c>
      <c r="F356" s="7" t="n">
        <v>3835.72</v>
      </c>
      <c r="G356" s="7">
        <f>E356-F356</f>
        <v/>
      </c>
      <c r="H356" s="8">
        <f>IFERROR(F356/E356,0)</f>
        <v/>
      </c>
      <c r="I356" s="4">
        <f>IF(H356&gt;=1,"超预算",IF(H356&gt;=0.9,"预警","正常"))</f>
        <v/>
      </c>
      <c r="J356" s="4">
        <f>RANK(F356,$F$4:$F$1203,0)</f>
        <v/>
      </c>
      <c r="K356" s="4" t="inlineStr">
        <is>
          <t>待启动</t>
        </is>
      </c>
    </row>
    <row r="357">
      <c r="A357" s="4" t="n">
        <v>354</v>
      </c>
      <c r="B357" s="5" t="inlineStr">
        <is>
          <t>PJ-2026-0354</t>
        </is>
      </c>
      <c r="C357" s="6" t="inlineStr">
        <is>
          <t>解放路污水处理扩容工程（二期）</t>
        </is>
      </c>
      <c r="D357" s="4" t="inlineStr">
        <is>
          <t>朱英</t>
        </is>
      </c>
      <c r="E357" s="7" t="n">
        <v>3861</v>
      </c>
      <c r="F357" s="7" t="n">
        <v>2393.82</v>
      </c>
      <c r="G357" s="7">
        <f>E357-F357</f>
        <v/>
      </c>
      <c r="H357" s="8">
        <f>IFERROR(F357/E357,0)</f>
        <v/>
      </c>
      <c r="I357" s="4">
        <f>IF(H357&gt;=1,"超预算",IF(H357&gt;=0.9,"预警","正常"))</f>
        <v/>
      </c>
      <c r="J357" s="4">
        <f>RANK(F357,$F$4:$F$1203,0)</f>
        <v/>
      </c>
      <c r="K357" s="4" t="inlineStr">
        <is>
          <t>完工</t>
        </is>
      </c>
    </row>
    <row r="358">
      <c r="A358" s="4" t="n">
        <v>355</v>
      </c>
      <c r="B358" s="5" t="inlineStr">
        <is>
          <t>PJ-2026-0355</t>
        </is>
      </c>
      <c r="C358" s="6" t="inlineStr">
        <is>
          <t>和平街供水管网更新工程（三期）</t>
        </is>
      </c>
      <c r="D358" s="4" t="inlineStr">
        <is>
          <t>胡强</t>
        </is>
      </c>
      <c r="E358" s="7" t="n">
        <v>3998</v>
      </c>
      <c r="F358" s="7" t="n">
        <v>3638.18</v>
      </c>
      <c r="G358" s="7">
        <f>E358-F358</f>
        <v/>
      </c>
      <c r="H358" s="8">
        <f>IFERROR(F358/E358,0)</f>
        <v/>
      </c>
      <c r="I358" s="4">
        <f>IF(H358&gt;=1,"超预算",IF(H358&gt;=0.9,"预警","正常"))</f>
        <v/>
      </c>
      <c r="J358" s="4">
        <f>RANK(F358,$F$4:$F$1203,0)</f>
        <v/>
      </c>
      <c r="K358" s="4" t="inlineStr">
        <is>
          <t>在建</t>
        </is>
      </c>
    </row>
    <row r="359">
      <c r="A359" s="4" t="n">
        <v>356</v>
      </c>
      <c r="B359" s="5" t="inlineStr">
        <is>
          <t>PJ-2026-0356</t>
        </is>
      </c>
      <c r="C359" s="6" t="inlineStr">
        <is>
          <t>光明街河道综合整治工程（四期）</t>
        </is>
      </c>
      <c r="D359" s="4" t="inlineStr">
        <is>
          <t>郭娟</t>
        </is>
      </c>
      <c r="E359" s="7" t="n">
        <v>4135</v>
      </c>
      <c r="F359" s="7" t="n">
        <v>2067.5</v>
      </c>
      <c r="G359" s="7">
        <f>E359-F359</f>
        <v/>
      </c>
      <c r="H359" s="8">
        <f>IFERROR(F359/E359,0)</f>
        <v/>
      </c>
      <c r="I359" s="4">
        <f>IF(H359&gt;=1,"超预算",IF(H359&gt;=0.9,"预警","正常"))</f>
        <v/>
      </c>
      <c r="J359" s="4">
        <f>RANK(F359,$F$4:$F$1203,0)</f>
        <v/>
      </c>
      <c r="K359" s="4" t="inlineStr">
        <is>
          <t>待启动</t>
        </is>
      </c>
    </row>
    <row r="360">
      <c r="A360" s="4" t="n">
        <v>357</v>
      </c>
      <c r="B360" s="5" t="inlineStr">
        <is>
          <t>PJ-2026-0357</t>
        </is>
      </c>
      <c r="C360" s="6" t="inlineStr">
        <is>
          <t>城东路学校新建工程</t>
        </is>
      </c>
      <c r="D360" s="4" t="inlineStr">
        <is>
          <t>何平</t>
        </is>
      </c>
      <c r="E360" s="7" t="n">
        <v>4272</v>
      </c>
      <c r="F360" s="7" t="n">
        <v>3374.88</v>
      </c>
      <c r="G360" s="7">
        <f>E360-F360</f>
        <v/>
      </c>
      <c r="H360" s="8">
        <f>IFERROR(F360/E360,0)</f>
        <v/>
      </c>
      <c r="I360" s="4">
        <f>IF(H360&gt;=1,"超预算",IF(H360&gt;=0.9,"预警","正常"))</f>
        <v/>
      </c>
      <c r="J360" s="4">
        <f>RANK(F360,$F$4:$F$1203,0)</f>
        <v/>
      </c>
      <c r="K360" s="4" t="inlineStr">
        <is>
          <t>完工</t>
        </is>
      </c>
    </row>
    <row r="361">
      <c r="A361" s="4" t="n">
        <v>358</v>
      </c>
      <c r="B361" s="5" t="inlineStr">
        <is>
          <t>PJ-2026-0358</t>
        </is>
      </c>
      <c r="C361" s="6" t="inlineStr">
        <is>
          <t>解放路医院改扩建项目（二期）</t>
        </is>
      </c>
      <c r="D361" s="4" t="inlineStr">
        <is>
          <t>高敏</t>
        </is>
      </c>
      <c r="E361" s="7" t="n">
        <v>4409</v>
      </c>
      <c r="F361" s="7" t="n">
        <v>4761.72</v>
      </c>
      <c r="G361" s="7">
        <f>E361-F361</f>
        <v/>
      </c>
      <c r="H361" s="8">
        <f>IFERROR(F361/E361,0)</f>
        <v/>
      </c>
      <c r="I361" s="4">
        <f>IF(H361&gt;=1,"超预算",IF(H361&gt;=0.9,"预警","正常"))</f>
        <v/>
      </c>
      <c r="J361" s="4">
        <f>RANK(F361,$F$4:$F$1203,0)</f>
        <v/>
      </c>
      <c r="K361" s="4" t="inlineStr">
        <is>
          <t>在建</t>
        </is>
      </c>
    </row>
    <row r="362">
      <c r="A362" s="4" t="n">
        <v>359</v>
      </c>
      <c r="B362" s="5" t="inlineStr">
        <is>
          <t>PJ-2026-0359</t>
        </is>
      </c>
      <c r="C362" s="6" t="inlineStr">
        <is>
          <t>和平街公交枢纽建设工程（三期）</t>
        </is>
      </c>
      <c r="D362" s="4" t="inlineStr">
        <is>
          <t>林勇</t>
        </is>
      </c>
      <c r="E362" s="7" t="n">
        <v>4546</v>
      </c>
      <c r="F362" s="7" t="n">
        <v>3045.82</v>
      </c>
      <c r="G362" s="7">
        <f>E362-F362</f>
        <v/>
      </c>
      <c r="H362" s="8">
        <f>IFERROR(F362/E362,0)</f>
        <v/>
      </c>
      <c r="I362" s="4">
        <f>IF(H362&gt;=1,"超预算",IF(H362&gt;=0.9,"预警","正常"))</f>
        <v/>
      </c>
      <c r="J362" s="4">
        <f>RANK(F362,$F$4:$F$1203,0)</f>
        <v/>
      </c>
      <c r="K362" s="4" t="inlineStr">
        <is>
          <t>待启动</t>
        </is>
      </c>
    </row>
    <row r="363">
      <c r="A363" s="4" t="n">
        <v>360</v>
      </c>
      <c r="B363" s="5" t="inlineStr">
        <is>
          <t>PJ-2026-0360</t>
        </is>
      </c>
      <c r="C363" s="6" t="inlineStr">
        <is>
          <t>光明街公共停车场建设工程（四期）</t>
        </is>
      </c>
      <c r="D363" s="4" t="inlineStr">
        <is>
          <t>罗秀</t>
        </is>
      </c>
      <c r="E363" s="7" t="n">
        <v>4683</v>
      </c>
      <c r="F363" s="7" t="n">
        <v>4495.68</v>
      </c>
      <c r="G363" s="7">
        <f>E363-F363</f>
        <v/>
      </c>
      <c r="H363" s="8">
        <f>IFERROR(F363/E363,0)</f>
        <v/>
      </c>
      <c r="I363" s="4">
        <f>IF(H363&gt;=1,"超预算",IF(H363&gt;=0.9,"预警","正常"))</f>
        <v/>
      </c>
      <c r="J363" s="4">
        <f>RANK(F363,$F$4:$F$1203,0)</f>
        <v/>
      </c>
      <c r="K363" s="4" t="inlineStr">
        <is>
          <t>完工</t>
        </is>
      </c>
    </row>
    <row r="364">
      <c r="A364" s="4" t="n">
        <v>361</v>
      </c>
      <c r="B364" s="5" t="inlineStr">
        <is>
          <t>PJ-2026-0361</t>
        </is>
      </c>
      <c r="C364" s="6" t="inlineStr">
        <is>
          <t>城东路道路改造工程</t>
        </is>
      </c>
      <c r="D364" s="4" t="inlineStr">
        <is>
          <t>张伟</t>
        </is>
      </c>
      <c r="E364" s="7" t="n">
        <v>4820</v>
      </c>
      <c r="F364" s="7" t="n">
        <v>2651</v>
      </c>
      <c r="G364" s="7">
        <f>E364-F364</f>
        <v/>
      </c>
      <c r="H364" s="8">
        <f>IFERROR(F364/E364,0)</f>
        <v/>
      </c>
      <c r="I364" s="4">
        <f>IF(H364&gt;=1,"超预算",IF(H364&gt;=0.9,"预警","正常"))</f>
        <v/>
      </c>
      <c r="J364" s="4">
        <f>RANK(F364,$F$4:$F$1203,0)</f>
        <v/>
      </c>
      <c r="K364" s="4" t="inlineStr">
        <is>
          <t>在建</t>
        </is>
      </c>
    </row>
    <row r="365">
      <c r="A365" s="4" t="n">
        <v>362</v>
      </c>
      <c r="B365" s="5" t="inlineStr">
        <is>
          <t>PJ-2026-0362</t>
        </is>
      </c>
      <c r="C365" s="6" t="inlineStr">
        <is>
          <t>解放路老旧小区改造项目（二期）</t>
        </is>
      </c>
      <c r="D365" s="4" t="inlineStr">
        <is>
          <t>王磊</t>
        </is>
      </c>
      <c r="E365" s="7" t="n">
        <v>4957</v>
      </c>
      <c r="F365" s="7" t="n">
        <v>4163.88</v>
      </c>
      <c r="G365" s="7">
        <f>E365-F365</f>
        <v/>
      </c>
      <c r="H365" s="8">
        <f>IFERROR(F365/E365,0)</f>
        <v/>
      </c>
      <c r="I365" s="4">
        <f>IF(H365&gt;=1,"超预算",IF(H365&gt;=0.9,"预警","正常"))</f>
        <v/>
      </c>
      <c r="J365" s="4">
        <f>RANK(F365,$F$4:$F$1203,0)</f>
        <v/>
      </c>
      <c r="K365" s="4" t="inlineStr">
        <is>
          <t>待启动</t>
        </is>
      </c>
    </row>
    <row r="366">
      <c r="A366" s="4" t="n">
        <v>363</v>
      </c>
      <c r="B366" s="5" t="inlineStr">
        <is>
          <t>PJ-2026-0363</t>
        </is>
      </c>
      <c r="C366" s="6" t="inlineStr">
        <is>
          <t>和平街智慧园区建设项目（三期）</t>
        </is>
      </c>
      <c r="D366" s="4" t="inlineStr">
        <is>
          <t>李涛</t>
        </is>
      </c>
      <c r="E366" s="7" t="n">
        <v>144</v>
      </c>
      <c r="F366" s="7" t="n">
        <v>162.72</v>
      </c>
      <c r="G366" s="7">
        <f>E366-F366</f>
        <v/>
      </c>
      <c r="H366" s="8">
        <f>IFERROR(F366/E366,0)</f>
        <v/>
      </c>
      <c r="I366" s="4">
        <f>IF(H366&gt;=1,"超预算",IF(H366&gt;=0.9,"预警","正常"))</f>
        <v/>
      </c>
      <c r="J366" s="4">
        <f>RANK(F366,$F$4:$F$1203,0)</f>
        <v/>
      </c>
      <c r="K366" s="4" t="inlineStr">
        <is>
          <t>完工</t>
        </is>
      </c>
    </row>
    <row r="367">
      <c r="A367" s="4" t="n">
        <v>364</v>
      </c>
      <c r="B367" s="5" t="inlineStr">
        <is>
          <t>PJ-2026-0364</t>
        </is>
      </c>
      <c r="C367" s="6" t="inlineStr">
        <is>
          <t>光明街污水处理扩容工程（四期）</t>
        </is>
      </c>
      <c r="D367" s="4" t="inlineStr">
        <is>
          <t>赵刚</t>
        </is>
      </c>
      <c r="E367" s="7" t="n">
        <v>281</v>
      </c>
      <c r="F367" s="7" t="n">
        <v>202.32</v>
      </c>
      <c r="G367" s="7">
        <f>E367-F367</f>
        <v/>
      </c>
      <c r="H367" s="8">
        <f>IFERROR(F367/E367,0)</f>
        <v/>
      </c>
      <c r="I367" s="4">
        <f>IF(H367&gt;=1,"超预算",IF(H367&gt;=0.9,"预警","正常"))</f>
        <v/>
      </c>
      <c r="J367" s="4">
        <f>RANK(F367,$F$4:$F$1203,0)</f>
        <v/>
      </c>
      <c r="K367" s="4" t="inlineStr">
        <is>
          <t>在建</t>
        </is>
      </c>
    </row>
    <row r="368">
      <c r="A368" s="4" t="n">
        <v>365</v>
      </c>
      <c r="B368" s="5" t="inlineStr">
        <is>
          <t>PJ-2026-0365</t>
        </is>
      </c>
      <c r="C368" s="6" t="inlineStr">
        <is>
          <t>城东路供水管网更新工程</t>
        </is>
      </c>
      <c r="D368" s="4" t="inlineStr">
        <is>
          <t>刘静</t>
        </is>
      </c>
      <c r="E368" s="7" t="n">
        <v>418</v>
      </c>
      <c r="F368" s="7" t="n">
        <v>422.18</v>
      </c>
      <c r="G368" s="7">
        <f>E368-F368</f>
        <v/>
      </c>
      <c r="H368" s="8">
        <f>IFERROR(F368/E368,0)</f>
        <v/>
      </c>
      <c r="I368" s="4">
        <f>IF(H368&gt;=1,"超预算",IF(H368&gt;=0.9,"预警","正常"))</f>
        <v/>
      </c>
      <c r="J368" s="4">
        <f>RANK(F368,$F$4:$F$1203,0)</f>
        <v/>
      </c>
      <c r="K368" s="4" t="inlineStr">
        <is>
          <t>待启动</t>
        </is>
      </c>
    </row>
    <row r="369">
      <c r="A369" s="4" t="n">
        <v>366</v>
      </c>
      <c r="B369" s="5" t="inlineStr">
        <is>
          <t>PJ-2026-0366</t>
        </is>
      </c>
      <c r="C369" s="6" t="inlineStr">
        <is>
          <t>解放路河道综合整治工程（二期）</t>
        </is>
      </c>
      <c r="D369" s="4" t="inlineStr">
        <is>
          <t>陈艳</t>
        </is>
      </c>
      <c r="E369" s="7" t="n">
        <v>555</v>
      </c>
      <c r="F369" s="7" t="n">
        <v>333</v>
      </c>
      <c r="G369" s="7">
        <f>E369-F369</f>
        <v/>
      </c>
      <c r="H369" s="8">
        <f>IFERROR(F369/E369,0)</f>
        <v/>
      </c>
      <c r="I369" s="4">
        <f>IF(H369&gt;=1,"超预算",IF(H369&gt;=0.9,"预警","正常"))</f>
        <v/>
      </c>
      <c r="J369" s="4">
        <f>RANK(F369,$F$4:$F$1203,0)</f>
        <v/>
      </c>
      <c r="K369" s="4" t="inlineStr">
        <is>
          <t>完工</t>
        </is>
      </c>
    </row>
    <row r="370">
      <c r="A370" s="4" t="n">
        <v>367</v>
      </c>
      <c r="B370" s="5" t="inlineStr">
        <is>
          <t>PJ-2026-0367</t>
        </is>
      </c>
      <c r="C370" s="6" t="inlineStr">
        <is>
          <t>和平街学校新建工程（三期）</t>
        </is>
      </c>
      <c r="D370" s="4" t="inlineStr">
        <is>
          <t>杨英</t>
        </is>
      </c>
      <c r="E370" s="7" t="n">
        <v>692</v>
      </c>
      <c r="F370" s="7" t="n">
        <v>615.88</v>
      </c>
      <c r="G370" s="7">
        <f>E370-F370</f>
        <v/>
      </c>
      <c r="H370" s="8">
        <f>IFERROR(F370/E370,0)</f>
        <v/>
      </c>
      <c r="I370" s="4">
        <f>IF(H370&gt;=1,"超预算",IF(H370&gt;=0.9,"预警","正常"))</f>
        <v/>
      </c>
      <c r="J370" s="4">
        <f>RANK(F370,$F$4:$F$1203,0)</f>
        <v/>
      </c>
      <c r="K370" s="4" t="inlineStr">
        <is>
          <t>在建</t>
        </is>
      </c>
    </row>
    <row r="371">
      <c r="A371" s="4" t="n">
        <v>368</v>
      </c>
      <c r="B371" s="5" t="inlineStr">
        <is>
          <t>PJ-2026-0368</t>
        </is>
      </c>
      <c r="C371" s="6" t="inlineStr">
        <is>
          <t>光明街医院改扩建项目（四期）</t>
        </is>
      </c>
      <c r="D371" s="4" t="inlineStr">
        <is>
          <t>黄芳</t>
        </is>
      </c>
      <c r="E371" s="7" t="n">
        <v>829</v>
      </c>
      <c r="F371" s="7" t="n">
        <v>397.92</v>
      </c>
      <c r="G371" s="7">
        <f>E371-F371</f>
        <v/>
      </c>
      <c r="H371" s="8">
        <f>IFERROR(F371/E371,0)</f>
        <v/>
      </c>
      <c r="I371" s="4">
        <f>IF(H371&gt;=1,"超预算",IF(H371&gt;=0.9,"预警","正常"))</f>
        <v/>
      </c>
      <c r="J371" s="4">
        <f>RANK(F371,$F$4:$F$1203,0)</f>
        <v/>
      </c>
      <c r="K371" s="4" t="inlineStr">
        <is>
          <t>待启动</t>
        </is>
      </c>
    </row>
    <row r="372">
      <c r="A372" s="4" t="n">
        <v>369</v>
      </c>
      <c r="B372" s="5" t="inlineStr">
        <is>
          <t>PJ-2026-0369</t>
        </is>
      </c>
      <c r="C372" s="6" t="inlineStr">
        <is>
          <t>城东路公交枢纽建设工程</t>
        </is>
      </c>
      <c r="D372" s="4" t="inlineStr">
        <is>
          <t>周军</t>
        </is>
      </c>
      <c r="E372" s="7" t="n">
        <v>966</v>
      </c>
      <c r="F372" s="7" t="n">
        <v>743.8200000000001</v>
      </c>
      <c r="G372" s="7">
        <f>E372-F372</f>
        <v/>
      </c>
      <c r="H372" s="8">
        <f>IFERROR(F372/E372,0)</f>
        <v/>
      </c>
      <c r="I372" s="4">
        <f>IF(H372&gt;=1,"超预算",IF(H372&gt;=0.9,"预警","正常"))</f>
        <v/>
      </c>
      <c r="J372" s="4">
        <f>RANK(F372,$F$4:$F$1203,0)</f>
        <v/>
      </c>
      <c r="K372" s="4" t="inlineStr">
        <is>
          <t>完工</t>
        </is>
      </c>
    </row>
    <row r="373">
      <c r="A373" s="4" t="n">
        <v>370</v>
      </c>
      <c r="B373" s="5" t="inlineStr">
        <is>
          <t>PJ-2026-0370</t>
        </is>
      </c>
      <c r="C373" s="6" t="inlineStr">
        <is>
          <t>解放路公共停车场建设工程（二期）</t>
        </is>
      </c>
      <c r="D373" s="4" t="inlineStr">
        <is>
          <t>吴明</t>
        </is>
      </c>
      <c r="E373" s="7" t="n">
        <v>1103</v>
      </c>
      <c r="F373" s="7" t="n">
        <v>1169.18</v>
      </c>
      <c r="G373" s="7">
        <f>E373-F373</f>
        <v/>
      </c>
      <c r="H373" s="8">
        <f>IFERROR(F373/E373,0)</f>
        <v/>
      </c>
      <c r="I373" s="4">
        <f>IF(H373&gt;=1,"超预算",IF(H373&gt;=0.9,"预警","正常"))</f>
        <v/>
      </c>
      <c r="J373" s="4">
        <f>RANK(F373,$F$4:$F$1203,0)</f>
        <v/>
      </c>
      <c r="K373" s="4" t="inlineStr">
        <is>
          <t>在建</t>
        </is>
      </c>
    </row>
    <row r="374">
      <c r="A374" s="4" t="n">
        <v>371</v>
      </c>
      <c r="B374" s="5" t="inlineStr">
        <is>
          <t>PJ-2026-0371</t>
        </is>
      </c>
      <c r="C374" s="6" t="inlineStr">
        <is>
          <t>和平街道路改造工程（三期）</t>
        </is>
      </c>
      <c r="D374" s="4" t="inlineStr">
        <is>
          <t>徐桂</t>
        </is>
      </c>
      <c r="E374" s="7" t="n">
        <v>1240</v>
      </c>
      <c r="F374" s="7" t="n">
        <v>806</v>
      </c>
      <c r="G374" s="7">
        <f>E374-F374</f>
        <v/>
      </c>
      <c r="H374" s="8">
        <f>IFERROR(F374/E374,0)</f>
        <v/>
      </c>
      <c r="I374" s="4">
        <f>IF(H374&gt;=1,"超预算",IF(H374&gt;=0.9,"预警","正常"))</f>
        <v/>
      </c>
      <c r="J374" s="4">
        <f>RANK(F374,$F$4:$F$1203,0)</f>
        <v/>
      </c>
      <c r="K374" s="4" t="inlineStr">
        <is>
          <t>待启动</t>
        </is>
      </c>
    </row>
    <row r="375">
      <c r="A375" s="4" t="n">
        <v>372</v>
      </c>
      <c r="B375" s="5" t="inlineStr">
        <is>
          <t>PJ-2026-0372</t>
        </is>
      </c>
      <c r="C375" s="6" t="inlineStr">
        <is>
          <t>光明街老旧小区改造项目（四期）</t>
        </is>
      </c>
      <c r="D375" s="4" t="inlineStr">
        <is>
          <t>孙丽</t>
        </is>
      </c>
      <c r="E375" s="7" t="n">
        <v>1377</v>
      </c>
      <c r="F375" s="7" t="n">
        <v>1294.38</v>
      </c>
      <c r="G375" s="7">
        <f>E375-F375</f>
        <v/>
      </c>
      <c r="H375" s="8">
        <f>IFERROR(F375/E375,0)</f>
        <v/>
      </c>
      <c r="I375" s="4">
        <f>IF(H375&gt;=1,"超预算",IF(H375&gt;=0.9,"预警","正常"))</f>
        <v/>
      </c>
      <c r="J375" s="4">
        <f>RANK(F375,$F$4:$F$1203,0)</f>
        <v/>
      </c>
      <c r="K375" s="4" t="inlineStr">
        <is>
          <t>完工</t>
        </is>
      </c>
    </row>
    <row r="376">
      <c r="A376" s="4" t="n">
        <v>373</v>
      </c>
      <c r="B376" s="5" t="inlineStr">
        <is>
          <t>PJ-2026-0373</t>
        </is>
      </c>
      <c r="C376" s="6" t="inlineStr">
        <is>
          <t>城东路智慧园区建设项目</t>
        </is>
      </c>
      <c r="D376" s="4" t="inlineStr">
        <is>
          <t>马杰</t>
        </is>
      </c>
      <c r="E376" s="7" t="n">
        <v>1514</v>
      </c>
      <c r="F376" s="7" t="n">
        <v>802.42</v>
      </c>
      <c r="G376" s="7">
        <f>E376-F376</f>
        <v/>
      </c>
      <c r="H376" s="8">
        <f>IFERROR(F376/E376,0)</f>
        <v/>
      </c>
      <c r="I376" s="4">
        <f>IF(H376&gt;=1,"超预算",IF(H376&gt;=0.9,"预警","正常"))</f>
        <v/>
      </c>
      <c r="J376" s="4">
        <f>RANK(F376,$F$4:$F$1203,0)</f>
        <v/>
      </c>
      <c r="K376" s="4" t="inlineStr">
        <is>
          <t>在建</t>
        </is>
      </c>
    </row>
    <row r="377">
      <c r="A377" s="4" t="n">
        <v>374</v>
      </c>
      <c r="B377" s="5" t="inlineStr">
        <is>
          <t>PJ-2026-0374</t>
        </is>
      </c>
      <c r="C377" s="6" t="inlineStr">
        <is>
          <t>解放路污水处理扩容工程（二期）</t>
        </is>
      </c>
      <c r="D377" s="4" t="inlineStr">
        <is>
          <t>朱霞</t>
        </is>
      </c>
      <c r="E377" s="7" t="n">
        <v>1651</v>
      </c>
      <c r="F377" s="7" t="n">
        <v>1353.82</v>
      </c>
      <c r="G377" s="7">
        <f>E377-F377</f>
        <v/>
      </c>
      <c r="H377" s="8">
        <f>IFERROR(F377/E377,0)</f>
        <v/>
      </c>
      <c r="I377" s="4">
        <f>IF(H377&gt;=1,"超预算",IF(H377&gt;=0.9,"预警","正常"))</f>
        <v/>
      </c>
      <c r="J377" s="4">
        <f>RANK(F377,$F$4:$F$1203,0)</f>
        <v/>
      </c>
      <c r="K377" s="4" t="inlineStr">
        <is>
          <t>待启动</t>
        </is>
      </c>
    </row>
    <row r="378">
      <c r="A378" s="4" t="n">
        <v>375</v>
      </c>
      <c r="B378" s="5" t="inlineStr">
        <is>
          <t>PJ-2026-0375</t>
        </is>
      </c>
      <c r="C378" s="6" t="inlineStr">
        <is>
          <t>和平街供水管网更新工程（三期）</t>
        </is>
      </c>
      <c r="D378" s="4" t="inlineStr">
        <is>
          <t>胡娜</t>
        </is>
      </c>
      <c r="E378" s="7" t="n">
        <v>1788</v>
      </c>
      <c r="F378" s="7" t="n">
        <v>1984.68</v>
      </c>
      <c r="G378" s="7">
        <f>E378-F378</f>
        <v/>
      </c>
      <c r="H378" s="8">
        <f>IFERROR(F378/E378,0)</f>
        <v/>
      </c>
      <c r="I378" s="4">
        <f>IF(H378&gt;=1,"超预算",IF(H378&gt;=0.9,"预警","正常"))</f>
        <v/>
      </c>
      <c r="J378" s="4">
        <f>RANK(F378,$F$4:$F$1203,0)</f>
        <v/>
      </c>
      <c r="K378" s="4" t="inlineStr">
        <is>
          <t>完工</t>
        </is>
      </c>
    </row>
    <row r="379">
      <c r="A379" s="4" t="n">
        <v>376</v>
      </c>
      <c r="B379" s="5" t="inlineStr">
        <is>
          <t>PJ-2026-0376</t>
        </is>
      </c>
      <c r="C379" s="6" t="inlineStr">
        <is>
          <t>光明街河道综合整治工程（四期）</t>
        </is>
      </c>
      <c r="D379" s="4" t="inlineStr">
        <is>
          <t>郭洋</t>
        </is>
      </c>
      <c r="E379" s="7" t="n">
        <v>1925</v>
      </c>
      <c r="F379" s="7" t="n">
        <v>1347.5</v>
      </c>
      <c r="G379" s="7">
        <f>E379-F379</f>
        <v/>
      </c>
      <c r="H379" s="8">
        <f>IFERROR(F379/E379,0)</f>
        <v/>
      </c>
      <c r="I379" s="4">
        <f>IF(H379&gt;=1,"超预算",IF(H379&gt;=0.9,"预警","正常"))</f>
        <v/>
      </c>
      <c r="J379" s="4">
        <f>RANK(F379,$F$4:$F$1203,0)</f>
        <v/>
      </c>
      <c r="K379" s="4" t="inlineStr">
        <is>
          <t>在建</t>
        </is>
      </c>
    </row>
    <row r="380">
      <c r="A380" s="4" t="n">
        <v>377</v>
      </c>
      <c r="B380" s="5" t="inlineStr">
        <is>
          <t>PJ-2026-0377</t>
        </is>
      </c>
      <c r="C380" s="6" t="inlineStr">
        <is>
          <t>城东路学校新建工程</t>
        </is>
      </c>
      <c r="D380" s="4" t="inlineStr">
        <is>
          <t>何超</t>
        </is>
      </c>
      <c r="E380" s="7" t="n">
        <v>2062</v>
      </c>
      <c r="F380" s="7" t="n">
        <v>2041.38</v>
      </c>
      <c r="G380" s="7">
        <f>E380-F380</f>
        <v/>
      </c>
      <c r="H380" s="8">
        <f>IFERROR(F380/E380,0)</f>
        <v/>
      </c>
      <c r="I380" s="4">
        <f>IF(H380&gt;=1,"超预算",IF(H380&gt;=0.9,"预警","正常"))</f>
        <v/>
      </c>
      <c r="J380" s="4">
        <f>RANK(F380,$F$4:$F$1203,0)</f>
        <v/>
      </c>
      <c r="K380" s="4" t="inlineStr">
        <is>
          <t>待启动</t>
        </is>
      </c>
    </row>
    <row r="381">
      <c r="A381" s="4" t="n">
        <v>378</v>
      </c>
      <c r="B381" s="5" t="inlineStr">
        <is>
          <t>PJ-2026-0378</t>
        </is>
      </c>
      <c r="C381" s="6" t="inlineStr">
        <is>
          <t>解放路医院改扩建项目（二期）</t>
        </is>
      </c>
      <c r="D381" s="4" t="inlineStr">
        <is>
          <t>高英</t>
        </is>
      </c>
      <c r="E381" s="7" t="n">
        <v>2199</v>
      </c>
      <c r="F381" s="7" t="n">
        <v>1275.42</v>
      </c>
      <c r="G381" s="7">
        <f>E381-F381</f>
        <v/>
      </c>
      <c r="H381" s="8">
        <f>IFERROR(F381/E381,0)</f>
        <v/>
      </c>
      <c r="I381" s="4">
        <f>IF(H381&gt;=1,"超预算",IF(H381&gt;=0.9,"预警","正常"))</f>
        <v/>
      </c>
      <c r="J381" s="4">
        <f>RANK(F381,$F$4:$F$1203,0)</f>
        <v/>
      </c>
      <c r="K381" s="4" t="inlineStr">
        <is>
          <t>完工</t>
        </is>
      </c>
    </row>
    <row r="382">
      <c r="A382" s="4" t="n">
        <v>379</v>
      </c>
      <c r="B382" s="5" t="inlineStr">
        <is>
          <t>PJ-2026-0379</t>
        </is>
      </c>
      <c r="C382" s="6" t="inlineStr">
        <is>
          <t>和平街公交枢纽建设工程（三期）</t>
        </is>
      </c>
      <c r="D382" s="4" t="inlineStr">
        <is>
          <t>林强</t>
        </is>
      </c>
      <c r="E382" s="7" t="n">
        <v>2336</v>
      </c>
      <c r="F382" s="7" t="n">
        <v>2032.32</v>
      </c>
      <c r="G382" s="7">
        <f>E382-F382</f>
        <v/>
      </c>
      <c r="H382" s="8">
        <f>IFERROR(F382/E382,0)</f>
        <v/>
      </c>
      <c r="I382" s="4">
        <f>IF(H382&gt;=1,"超预算",IF(H382&gt;=0.9,"预警","正常"))</f>
        <v/>
      </c>
      <c r="J382" s="4">
        <f>RANK(F382,$F$4:$F$1203,0)</f>
        <v/>
      </c>
      <c r="K382" s="4" t="inlineStr">
        <is>
          <t>在建</t>
        </is>
      </c>
    </row>
    <row r="383">
      <c r="A383" s="4" t="n">
        <v>380</v>
      </c>
      <c r="B383" s="5" t="inlineStr">
        <is>
          <t>PJ-2026-0380</t>
        </is>
      </c>
      <c r="C383" s="6" t="inlineStr">
        <is>
          <t>光明街公共停车场建设工程（四期）</t>
        </is>
      </c>
      <c r="D383" s="4" t="inlineStr">
        <is>
          <t>罗娟</t>
        </is>
      </c>
      <c r="E383" s="7" t="n">
        <v>2473</v>
      </c>
      <c r="F383" s="7" t="n">
        <v>1137.58</v>
      </c>
      <c r="G383" s="7">
        <f>E383-F383</f>
        <v/>
      </c>
      <c r="H383" s="8">
        <f>IFERROR(F383/E383,0)</f>
        <v/>
      </c>
      <c r="I383" s="4">
        <f>IF(H383&gt;=1,"超预算",IF(H383&gt;=0.9,"预警","正常"))</f>
        <v/>
      </c>
      <c r="J383" s="4">
        <f>RANK(F383,$F$4:$F$1203,0)</f>
        <v/>
      </c>
      <c r="K383" s="4" t="inlineStr">
        <is>
          <t>待启动</t>
        </is>
      </c>
    </row>
    <row r="384">
      <c r="A384" s="4" t="n">
        <v>381</v>
      </c>
      <c r="B384" s="5" t="inlineStr">
        <is>
          <t>PJ-2026-0381</t>
        </is>
      </c>
      <c r="C384" s="6" t="inlineStr">
        <is>
          <t>城东路道路改造工程</t>
        </is>
      </c>
      <c r="D384" s="4" t="inlineStr">
        <is>
          <t>张平</t>
        </is>
      </c>
      <c r="E384" s="7" t="n">
        <v>2610</v>
      </c>
      <c r="F384" s="7" t="n">
        <v>1957.5</v>
      </c>
      <c r="G384" s="7">
        <f>E384-F384</f>
        <v/>
      </c>
      <c r="H384" s="8">
        <f>IFERROR(F384/E384,0)</f>
        <v/>
      </c>
      <c r="I384" s="4">
        <f>IF(H384&gt;=1,"超预算",IF(H384&gt;=0.9,"预警","正常"))</f>
        <v/>
      </c>
      <c r="J384" s="4">
        <f>RANK(F384,$F$4:$F$1203,0)</f>
        <v/>
      </c>
      <c r="K384" s="4" t="inlineStr">
        <is>
          <t>完工</t>
        </is>
      </c>
    </row>
    <row r="385">
      <c r="A385" s="4" t="n">
        <v>382</v>
      </c>
      <c r="B385" s="5" t="inlineStr">
        <is>
          <t>PJ-2026-0382</t>
        </is>
      </c>
      <c r="C385" s="6" t="inlineStr">
        <is>
          <t>解放路老旧小区改造项目（二期）</t>
        </is>
      </c>
      <c r="D385" s="4" t="inlineStr">
        <is>
          <t>王敏</t>
        </is>
      </c>
      <c r="E385" s="7" t="n">
        <v>2747</v>
      </c>
      <c r="F385" s="7" t="n">
        <v>2856.88</v>
      </c>
      <c r="G385" s="7">
        <f>E385-F385</f>
        <v/>
      </c>
      <c r="H385" s="8">
        <f>IFERROR(F385/E385,0)</f>
        <v/>
      </c>
      <c r="I385" s="4">
        <f>IF(H385&gt;=1,"超预算",IF(H385&gt;=0.9,"预警","正常"))</f>
        <v/>
      </c>
      <c r="J385" s="4">
        <f>RANK(F385,$F$4:$F$1203,0)</f>
        <v/>
      </c>
      <c r="K385" s="4" t="inlineStr">
        <is>
          <t>在建</t>
        </is>
      </c>
    </row>
    <row r="386">
      <c r="A386" s="4" t="n">
        <v>383</v>
      </c>
      <c r="B386" s="5" t="inlineStr">
        <is>
          <t>PJ-2026-0383</t>
        </is>
      </c>
      <c r="C386" s="6" t="inlineStr">
        <is>
          <t>和平街智慧园区建设项目（三期）</t>
        </is>
      </c>
      <c r="D386" s="4" t="inlineStr">
        <is>
          <t>李勇</t>
        </is>
      </c>
      <c r="E386" s="7" t="n">
        <v>2884</v>
      </c>
      <c r="F386" s="7" t="n">
        <v>1816.92</v>
      </c>
      <c r="G386" s="7">
        <f>E386-F386</f>
        <v/>
      </c>
      <c r="H386" s="8">
        <f>IFERROR(F386/E386,0)</f>
        <v/>
      </c>
      <c r="I386" s="4">
        <f>IF(H386&gt;=1,"超预算",IF(H386&gt;=0.9,"预警","正常"))</f>
        <v/>
      </c>
      <c r="J386" s="4">
        <f>RANK(F386,$F$4:$F$1203,0)</f>
        <v/>
      </c>
      <c r="K386" s="4" t="inlineStr">
        <is>
          <t>待启动</t>
        </is>
      </c>
    </row>
    <row r="387">
      <c r="A387" s="4" t="n">
        <v>384</v>
      </c>
      <c r="B387" s="5" t="inlineStr">
        <is>
          <t>PJ-2026-0384</t>
        </is>
      </c>
      <c r="C387" s="6" t="inlineStr">
        <is>
          <t>光明街污水处理扩容工程（四期）</t>
        </is>
      </c>
      <c r="D387" s="4" t="inlineStr">
        <is>
          <t>赵秀</t>
        </is>
      </c>
      <c r="E387" s="7" t="n">
        <v>3021</v>
      </c>
      <c r="F387" s="7" t="n">
        <v>2779.32</v>
      </c>
      <c r="G387" s="7">
        <f>E387-F387</f>
        <v/>
      </c>
      <c r="H387" s="8">
        <f>IFERROR(F387/E387,0)</f>
        <v/>
      </c>
      <c r="I387" s="4">
        <f>IF(H387&gt;=1,"超预算",IF(H387&gt;=0.9,"预警","正常"))</f>
        <v/>
      </c>
      <c r="J387" s="4">
        <f>RANK(F387,$F$4:$F$1203,0)</f>
        <v/>
      </c>
      <c r="K387" s="4" t="inlineStr">
        <is>
          <t>完工</t>
        </is>
      </c>
    </row>
    <row r="388">
      <c r="A388" s="4" t="n">
        <v>385</v>
      </c>
      <c r="B388" s="5" t="inlineStr">
        <is>
          <t>PJ-2026-0385</t>
        </is>
      </c>
      <c r="C388" s="6" t="inlineStr">
        <is>
          <t>城东路供水管网更新工程</t>
        </is>
      </c>
      <c r="D388" s="4" t="inlineStr">
        <is>
          <t>刘伟</t>
        </is>
      </c>
      <c r="E388" s="7" t="n">
        <v>3158</v>
      </c>
      <c r="F388" s="7" t="n">
        <v>1610.58</v>
      </c>
      <c r="G388" s="7">
        <f>E388-F388</f>
        <v/>
      </c>
      <c r="H388" s="8">
        <f>IFERROR(F388/E388,0)</f>
        <v/>
      </c>
      <c r="I388" s="4">
        <f>IF(H388&gt;=1,"超预算",IF(H388&gt;=0.9,"预警","正常"))</f>
        <v/>
      </c>
      <c r="J388" s="4">
        <f>RANK(F388,$F$4:$F$1203,0)</f>
        <v/>
      </c>
      <c r="K388" s="4" t="inlineStr">
        <is>
          <t>在建</t>
        </is>
      </c>
    </row>
    <row r="389">
      <c r="A389" s="4" t="n">
        <v>386</v>
      </c>
      <c r="B389" s="5" t="inlineStr">
        <is>
          <t>PJ-2026-0386</t>
        </is>
      </c>
      <c r="C389" s="6" t="inlineStr">
        <is>
          <t>解放路河道综合整治工程（二期）</t>
        </is>
      </c>
      <c r="D389" s="4" t="inlineStr">
        <is>
          <t>陈磊</t>
        </is>
      </c>
      <c r="E389" s="7" t="n">
        <v>3295</v>
      </c>
      <c r="F389" s="7" t="n">
        <v>2636</v>
      </c>
      <c r="G389" s="7">
        <f>E389-F389</f>
        <v/>
      </c>
      <c r="H389" s="8">
        <f>IFERROR(F389/E389,0)</f>
        <v/>
      </c>
      <c r="I389" s="4">
        <f>IF(H389&gt;=1,"超预算",IF(H389&gt;=0.9,"预警","正常"))</f>
        <v/>
      </c>
      <c r="J389" s="4">
        <f>RANK(F389,$F$4:$F$1203,0)</f>
        <v/>
      </c>
      <c r="K389" s="4" t="inlineStr">
        <is>
          <t>待启动</t>
        </is>
      </c>
    </row>
    <row r="390">
      <c r="A390" s="4" t="n">
        <v>387</v>
      </c>
      <c r="B390" s="5" t="inlineStr">
        <is>
          <t>PJ-2026-0387</t>
        </is>
      </c>
      <c r="C390" s="6" t="inlineStr">
        <is>
          <t>和平街学校新建工程（三期）</t>
        </is>
      </c>
      <c r="D390" s="4" t="inlineStr">
        <is>
          <t>杨涛</t>
        </is>
      </c>
      <c r="E390" s="7" t="n">
        <v>3432</v>
      </c>
      <c r="F390" s="7" t="n">
        <v>3740.88</v>
      </c>
      <c r="G390" s="7">
        <f>E390-F390</f>
        <v/>
      </c>
      <c r="H390" s="8">
        <f>IFERROR(F390/E390,0)</f>
        <v/>
      </c>
      <c r="I390" s="4">
        <f>IF(H390&gt;=1,"超预算",IF(H390&gt;=0.9,"预警","正常"))</f>
        <v/>
      </c>
      <c r="J390" s="4">
        <f>RANK(F390,$F$4:$F$1203,0)</f>
        <v/>
      </c>
      <c r="K390" s="4" t="inlineStr">
        <is>
          <t>完工</t>
        </is>
      </c>
    </row>
    <row r="391">
      <c r="A391" s="4" t="n">
        <v>388</v>
      </c>
      <c r="B391" s="5" t="inlineStr">
        <is>
          <t>PJ-2026-0388</t>
        </is>
      </c>
      <c r="C391" s="6" t="inlineStr">
        <is>
          <t>光明街医院改扩建项目（四期）</t>
        </is>
      </c>
      <c r="D391" s="4" t="inlineStr">
        <is>
          <t>黄刚</t>
        </is>
      </c>
      <c r="E391" s="7" t="n">
        <v>3569</v>
      </c>
      <c r="F391" s="7" t="n">
        <v>2426.92</v>
      </c>
      <c r="G391" s="7">
        <f>E391-F391</f>
        <v/>
      </c>
      <c r="H391" s="8">
        <f>IFERROR(F391/E391,0)</f>
        <v/>
      </c>
      <c r="I391" s="4">
        <f>IF(H391&gt;=1,"超预算",IF(H391&gt;=0.9,"预警","正常"))</f>
        <v/>
      </c>
      <c r="J391" s="4">
        <f>RANK(F391,$F$4:$F$1203,0)</f>
        <v/>
      </c>
      <c r="K391" s="4" t="inlineStr">
        <is>
          <t>在建</t>
        </is>
      </c>
    </row>
    <row r="392">
      <c r="A392" s="4" t="n">
        <v>389</v>
      </c>
      <c r="B392" s="5" t="inlineStr">
        <is>
          <t>PJ-2026-0389</t>
        </is>
      </c>
      <c r="C392" s="6" t="inlineStr">
        <is>
          <t>城东路公交枢纽建设工程</t>
        </is>
      </c>
      <c r="D392" s="4" t="inlineStr">
        <is>
          <t>周静</t>
        </is>
      </c>
      <c r="E392" s="7" t="n">
        <v>3706</v>
      </c>
      <c r="F392" s="7" t="n">
        <v>3594.82</v>
      </c>
      <c r="G392" s="7">
        <f>E392-F392</f>
        <v/>
      </c>
      <c r="H392" s="8">
        <f>IFERROR(F392/E392,0)</f>
        <v/>
      </c>
      <c r="I392" s="4">
        <f>IF(H392&gt;=1,"超预算",IF(H392&gt;=0.9,"预警","正常"))</f>
        <v/>
      </c>
      <c r="J392" s="4">
        <f>RANK(F392,$F$4:$F$1203,0)</f>
        <v/>
      </c>
      <c r="K392" s="4" t="inlineStr">
        <is>
          <t>待启动</t>
        </is>
      </c>
    </row>
    <row r="393">
      <c r="A393" s="4" t="n">
        <v>390</v>
      </c>
      <c r="B393" s="5" t="inlineStr">
        <is>
          <t>PJ-2026-0390</t>
        </is>
      </c>
      <c r="C393" s="6" t="inlineStr">
        <is>
          <t>解放路公共停车场建设工程（二期）</t>
        </is>
      </c>
      <c r="D393" s="4" t="inlineStr">
        <is>
          <t>吴艳</t>
        </is>
      </c>
      <c r="E393" s="7" t="n">
        <v>3843</v>
      </c>
      <c r="F393" s="7" t="n">
        <v>2152.08</v>
      </c>
      <c r="G393" s="7">
        <f>E393-F393</f>
        <v/>
      </c>
      <c r="H393" s="8">
        <f>IFERROR(F393/E393,0)</f>
        <v/>
      </c>
      <c r="I393" s="4">
        <f>IF(H393&gt;=1,"超预算",IF(H393&gt;=0.9,"预警","正常"))</f>
        <v/>
      </c>
      <c r="J393" s="4">
        <f>RANK(F393,$F$4:$F$1203,0)</f>
        <v/>
      </c>
      <c r="K393" s="4" t="inlineStr">
        <is>
          <t>完工</t>
        </is>
      </c>
    </row>
    <row r="394">
      <c r="A394" s="4" t="n">
        <v>391</v>
      </c>
      <c r="B394" s="5" t="inlineStr">
        <is>
          <t>PJ-2026-0391</t>
        </is>
      </c>
      <c r="C394" s="6" t="inlineStr">
        <is>
          <t>和平街道路改造工程（三期）</t>
        </is>
      </c>
      <c r="D394" s="4" t="inlineStr">
        <is>
          <t>徐英</t>
        </is>
      </c>
      <c r="E394" s="7" t="n">
        <v>3980</v>
      </c>
      <c r="F394" s="7" t="n">
        <v>3383</v>
      </c>
      <c r="G394" s="7">
        <f>E394-F394</f>
        <v/>
      </c>
      <c r="H394" s="8">
        <f>IFERROR(F394/E394,0)</f>
        <v/>
      </c>
      <c r="I394" s="4">
        <f>IF(H394&gt;=1,"超预算",IF(H394&gt;=0.9,"预警","正常"))</f>
        <v/>
      </c>
      <c r="J394" s="4">
        <f>RANK(F394,$F$4:$F$1203,0)</f>
        <v/>
      </c>
      <c r="K394" s="4" t="inlineStr">
        <is>
          <t>在建</t>
        </is>
      </c>
    </row>
    <row r="395">
      <c r="A395" s="4" t="n">
        <v>392</v>
      </c>
      <c r="B395" s="5" t="inlineStr">
        <is>
          <t>PJ-2026-0392</t>
        </is>
      </c>
      <c r="C395" s="6" t="inlineStr">
        <is>
          <t>光明街老旧小区改造项目（四期）</t>
        </is>
      </c>
      <c r="D395" s="4" t="inlineStr">
        <is>
          <t>孙芳</t>
        </is>
      </c>
      <c r="E395" s="7" t="n">
        <v>4117</v>
      </c>
      <c r="F395" s="7" t="n">
        <v>4693.38</v>
      </c>
      <c r="G395" s="7">
        <f>E395-F395</f>
        <v/>
      </c>
      <c r="H395" s="8">
        <f>IFERROR(F395/E395,0)</f>
        <v/>
      </c>
      <c r="I395" s="4">
        <f>IF(H395&gt;=1,"超预算",IF(H395&gt;=0.9,"预警","正常"))</f>
        <v/>
      </c>
      <c r="J395" s="4">
        <f>RANK(F395,$F$4:$F$1203,0)</f>
        <v/>
      </c>
      <c r="K395" s="4" t="inlineStr">
        <is>
          <t>待启动</t>
        </is>
      </c>
    </row>
    <row r="396">
      <c r="A396" s="4" t="n">
        <v>393</v>
      </c>
      <c r="B396" s="5" t="inlineStr">
        <is>
          <t>PJ-2026-0393</t>
        </is>
      </c>
      <c r="C396" s="6" t="inlineStr">
        <is>
          <t>城东路智慧园区建设项目</t>
        </is>
      </c>
      <c r="D396" s="4" t="inlineStr">
        <is>
          <t>马军</t>
        </is>
      </c>
      <c r="E396" s="7" t="n">
        <v>4254</v>
      </c>
      <c r="F396" s="7" t="n">
        <v>3105.42</v>
      </c>
      <c r="G396" s="7">
        <f>E396-F396</f>
        <v/>
      </c>
      <c r="H396" s="8">
        <f>IFERROR(F396/E396,0)</f>
        <v/>
      </c>
      <c r="I396" s="4">
        <f>IF(H396&gt;=1,"超预算",IF(H396&gt;=0.9,"预警","正常"))</f>
        <v/>
      </c>
      <c r="J396" s="4">
        <f>RANK(F396,$F$4:$F$1203,0)</f>
        <v/>
      </c>
      <c r="K396" s="4" t="inlineStr">
        <is>
          <t>完工</t>
        </is>
      </c>
    </row>
    <row r="397">
      <c r="A397" s="4" t="n">
        <v>394</v>
      </c>
      <c r="B397" s="5" t="inlineStr">
        <is>
          <t>PJ-2026-0394</t>
        </is>
      </c>
      <c r="C397" s="6" t="inlineStr">
        <is>
          <t>解放路污水处理扩容工程（二期）</t>
        </is>
      </c>
      <c r="D397" s="4" t="inlineStr">
        <is>
          <t>朱明</t>
        </is>
      </c>
      <c r="E397" s="7" t="n">
        <v>4391</v>
      </c>
      <c r="F397" s="7" t="n">
        <v>4478.82</v>
      </c>
      <c r="G397" s="7">
        <f>E397-F397</f>
        <v/>
      </c>
      <c r="H397" s="8">
        <f>IFERROR(F397/E397,0)</f>
        <v/>
      </c>
      <c r="I397" s="4">
        <f>IF(H397&gt;=1,"超预算",IF(H397&gt;=0.9,"预警","正常"))</f>
        <v/>
      </c>
      <c r="J397" s="4">
        <f>RANK(F397,$F$4:$F$1203,0)</f>
        <v/>
      </c>
      <c r="K397" s="4" t="inlineStr">
        <is>
          <t>在建</t>
        </is>
      </c>
    </row>
    <row r="398">
      <c r="A398" s="4" t="n">
        <v>395</v>
      </c>
      <c r="B398" s="5" t="inlineStr">
        <is>
          <t>PJ-2026-0395</t>
        </is>
      </c>
      <c r="C398" s="6" t="inlineStr">
        <is>
          <t>和平街供水管网更新工程（三期）</t>
        </is>
      </c>
      <c r="D398" s="4" t="inlineStr">
        <is>
          <t>胡桂</t>
        </is>
      </c>
      <c r="E398" s="7" t="n">
        <v>4528</v>
      </c>
      <c r="F398" s="7" t="n">
        <v>2762.08</v>
      </c>
      <c r="G398" s="7">
        <f>E398-F398</f>
        <v/>
      </c>
      <c r="H398" s="8">
        <f>IFERROR(F398/E398,0)</f>
        <v/>
      </c>
      <c r="I398" s="4">
        <f>IF(H398&gt;=1,"超预算",IF(H398&gt;=0.9,"预警","正常"))</f>
        <v/>
      </c>
      <c r="J398" s="4">
        <f>RANK(F398,$F$4:$F$1203,0)</f>
        <v/>
      </c>
      <c r="K398" s="4" t="inlineStr">
        <is>
          <t>待启动</t>
        </is>
      </c>
    </row>
    <row r="399">
      <c r="A399" s="4" t="n">
        <v>396</v>
      </c>
      <c r="B399" s="5" t="inlineStr">
        <is>
          <t>PJ-2026-0396</t>
        </is>
      </c>
      <c r="C399" s="6" t="inlineStr">
        <is>
          <t>光明街河道综合整治工程（四期）</t>
        </is>
      </c>
      <c r="D399" s="4" t="inlineStr">
        <is>
          <t>郭丽</t>
        </is>
      </c>
      <c r="E399" s="7" t="n">
        <v>4665</v>
      </c>
      <c r="F399" s="7" t="n">
        <v>4198.5</v>
      </c>
      <c r="G399" s="7">
        <f>E399-F399</f>
        <v/>
      </c>
      <c r="H399" s="8">
        <f>IFERROR(F399/E399,0)</f>
        <v/>
      </c>
      <c r="I399" s="4">
        <f>IF(H399&gt;=1,"超预算",IF(H399&gt;=0.9,"预警","正常"))</f>
        <v/>
      </c>
      <c r="J399" s="4">
        <f>RANK(F399,$F$4:$F$1203,0)</f>
        <v/>
      </c>
      <c r="K399" s="4" t="inlineStr">
        <is>
          <t>完工</t>
        </is>
      </c>
    </row>
    <row r="400">
      <c r="A400" s="4" t="n">
        <v>397</v>
      </c>
      <c r="B400" s="5" t="inlineStr">
        <is>
          <t>PJ-2026-0397</t>
        </is>
      </c>
      <c r="C400" s="6" t="inlineStr">
        <is>
          <t>城东路学校新建工程</t>
        </is>
      </c>
      <c r="D400" s="4" t="inlineStr">
        <is>
          <t>何杰</t>
        </is>
      </c>
      <c r="E400" s="7" t="n">
        <v>4802</v>
      </c>
      <c r="F400" s="7" t="n">
        <v>2352.98</v>
      </c>
      <c r="G400" s="7">
        <f>E400-F400</f>
        <v/>
      </c>
      <c r="H400" s="8">
        <f>IFERROR(F400/E400,0)</f>
        <v/>
      </c>
      <c r="I400" s="4">
        <f>IF(H400&gt;=1,"超预算",IF(H400&gt;=0.9,"预警","正常"))</f>
        <v/>
      </c>
      <c r="J400" s="4">
        <f>RANK(F400,$F$4:$F$1203,0)</f>
        <v/>
      </c>
      <c r="K400" s="4" t="inlineStr">
        <is>
          <t>在建</t>
        </is>
      </c>
    </row>
    <row r="401">
      <c r="A401" s="4" t="n">
        <v>398</v>
      </c>
      <c r="B401" s="5" t="inlineStr">
        <is>
          <t>PJ-2026-0398</t>
        </is>
      </c>
      <c r="C401" s="6" t="inlineStr">
        <is>
          <t>解放路医院改扩建项目（二期）</t>
        </is>
      </c>
      <c r="D401" s="4" t="inlineStr">
        <is>
          <t>高霞</t>
        </is>
      </c>
      <c r="E401" s="7" t="n">
        <v>4939</v>
      </c>
      <c r="F401" s="7" t="n">
        <v>3852.42</v>
      </c>
      <c r="G401" s="7">
        <f>E401-F401</f>
        <v/>
      </c>
      <c r="H401" s="8">
        <f>IFERROR(F401/E401,0)</f>
        <v/>
      </c>
      <c r="I401" s="4">
        <f>IF(H401&gt;=1,"超预算",IF(H401&gt;=0.9,"预警","正常"))</f>
        <v/>
      </c>
      <c r="J401" s="4">
        <f>RANK(F401,$F$4:$F$1203,0)</f>
        <v/>
      </c>
      <c r="K401" s="4" t="inlineStr">
        <is>
          <t>待启动</t>
        </is>
      </c>
    </row>
    <row r="402">
      <c r="A402" s="4" t="n">
        <v>399</v>
      </c>
      <c r="B402" s="5" t="inlineStr">
        <is>
          <t>PJ-2026-0399</t>
        </is>
      </c>
      <c r="C402" s="6" t="inlineStr">
        <is>
          <t>和平街公交枢纽建设工程（三期）</t>
        </is>
      </c>
      <c r="D402" s="4" t="inlineStr">
        <is>
          <t>林娜</t>
        </is>
      </c>
      <c r="E402" s="7" t="n">
        <v>126</v>
      </c>
      <c r="F402" s="7" t="n">
        <v>134.82</v>
      </c>
      <c r="G402" s="7">
        <f>E402-F402</f>
        <v/>
      </c>
      <c r="H402" s="8">
        <f>IFERROR(F402/E402,0)</f>
        <v/>
      </c>
      <c r="I402" s="4">
        <f>IF(H402&gt;=1,"超预算",IF(H402&gt;=0.9,"预警","正常"))</f>
        <v/>
      </c>
      <c r="J402" s="4">
        <f>RANK(F402,$F$4:$F$1203,0)</f>
        <v/>
      </c>
      <c r="K402" s="4" t="inlineStr">
        <is>
          <t>完工</t>
        </is>
      </c>
    </row>
    <row r="403">
      <c r="A403" s="4" t="n">
        <v>400</v>
      </c>
      <c r="B403" s="5" t="inlineStr">
        <is>
          <t>PJ-2026-0400</t>
        </is>
      </c>
      <c r="C403" s="6" t="inlineStr">
        <is>
          <t>光明街公共停车场建设工程（四期）</t>
        </is>
      </c>
      <c r="D403" s="4" t="inlineStr">
        <is>
          <t>罗洋</t>
        </is>
      </c>
      <c r="E403" s="7" t="n">
        <v>263</v>
      </c>
      <c r="F403" s="7" t="n">
        <v>173.58</v>
      </c>
      <c r="G403" s="7">
        <f>E403-F403</f>
        <v/>
      </c>
      <c r="H403" s="8">
        <f>IFERROR(F403/E403,0)</f>
        <v/>
      </c>
      <c r="I403" s="4">
        <f>IF(H403&gt;=1,"超预算",IF(H403&gt;=0.9,"预警","正常"))</f>
        <v/>
      </c>
      <c r="J403" s="4">
        <f>RANK(F403,$F$4:$F$1203,0)</f>
        <v/>
      </c>
      <c r="K403" s="4" t="inlineStr">
        <is>
          <t>在建</t>
        </is>
      </c>
    </row>
    <row r="404">
      <c r="A404" s="4" t="n">
        <v>401</v>
      </c>
      <c r="B404" s="5" t="inlineStr">
        <is>
          <t>PJ-2026-0401</t>
        </is>
      </c>
      <c r="C404" s="6" t="inlineStr">
        <is>
          <t>城东路道路改造工程</t>
        </is>
      </c>
      <c r="D404" s="4" t="inlineStr">
        <is>
          <t>张超</t>
        </is>
      </c>
      <c r="E404" s="7" t="n">
        <v>400</v>
      </c>
      <c r="F404" s="7" t="n">
        <v>380</v>
      </c>
      <c r="G404" s="7">
        <f>E404-F404</f>
        <v/>
      </c>
      <c r="H404" s="8">
        <f>IFERROR(F404/E404,0)</f>
        <v/>
      </c>
      <c r="I404" s="4">
        <f>IF(H404&gt;=1,"超预算",IF(H404&gt;=0.9,"预警","正常"))</f>
        <v/>
      </c>
      <c r="J404" s="4">
        <f>RANK(F404,$F$4:$F$1203,0)</f>
        <v/>
      </c>
      <c r="K404" s="4" t="inlineStr">
        <is>
          <t>待启动</t>
        </is>
      </c>
    </row>
    <row r="405">
      <c r="A405" s="4" t="n">
        <v>402</v>
      </c>
      <c r="B405" s="5" t="inlineStr">
        <is>
          <t>PJ-2026-0402</t>
        </is>
      </c>
      <c r="C405" s="6" t="inlineStr">
        <is>
          <t>解放路老旧小区改造项目（二期）</t>
        </is>
      </c>
      <c r="D405" s="4" t="inlineStr">
        <is>
          <t>王英</t>
        </is>
      </c>
      <c r="E405" s="7" t="n">
        <v>537</v>
      </c>
      <c r="F405" s="7" t="n">
        <v>289.98</v>
      </c>
      <c r="G405" s="7">
        <f>E405-F405</f>
        <v/>
      </c>
      <c r="H405" s="8">
        <f>IFERROR(F405/E405,0)</f>
        <v/>
      </c>
      <c r="I405" s="4">
        <f>IF(H405&gt;=1,"超预算",IF(H405&gt;=0.9,"预警","正常"))</f>
        <v/>
      </c>
      <c r="J405" s="4">
        <f>RANK(F405,$F$4:$F$1203,0)</f>
        <v/>
      </c>
      <c r="K405" s="4" t="inlineStr">
        <is>
          <t>完工</t>
        </is>
      </c>
    </row>
    <row r="406">
      <c r="A406" s="4" t="n">
        <v>403</v>
      </c>
      <c r="B406" s="5" t="inlineStr">
        <is>
          <t>PJ-2026-0403</t>
        </is>
      </c>
      <c r="C406" s="6" t="inlineStr">
        <is>
          <t>和平街智慧园区建设项目（三期）</t>
        </is>
      </c>
      <c r="D406" s="4" t="inlineStr">
        <is>
          <t>李强</t>
        </is>
      </c>
      <c r="E406" s="7" t="n">
        <v>674</v>
      </c>
      <c r="F406" s="7" t="n">
        <v>559.42</v>
      </c>
      <c r="G406" s="7">
        <f>E406-F406</f>
        <v/>
      </c>
      <c r="H406" s="8">
        <f>IFERROR(F406/E406,0)</f>
        <v/>
      </c>
      <c r="I406" s="4">
        <f>IF(H406&gt;=1,"超预算",IF(H406&gt;=0.9,"预警","正常"))</f>
        <v/>
      </c>
      <c r="J406" s="4">
        <f>RANK(F406,$F$4:$F$1203,0)</f>
        <v/>
      </c>
      <c r="K406" s="4" t="inlineStr">
        <is>
          <t>在建</t>
        </is>
      </c>
    </row>
    <row r="407">
      <c r="A407" s="4" t="n">
        <v>404</v>
      </c>
      <c r="B407" s="5" t="inlineStr">
        <is>
          <t>PJ-2026-0404</t>
        </is>
      </c>
      <c r="C407" s="6" t="inlineStr">
        <is>
          <t>光明街污水处理扩容工程（四期）</t>
        </is>
      </c>
      <c r="D407" s="4" t="inlineStr">
        <is>
          <t>赵娟</t>
        </is>
      </c>
      <c r="E407" s="7" t="n">
        <v>811</v>
      </c>
      <c r="F407" s="7" t="n">
        <v>908.3200000000001</v>
      </c>
      <c r="G407" s="7">
        <f>E407-F407</f>
        <v/>
      </c>
      <c r="H407" s="8">
        <f>IFERROR(F407/E407,0)</f>
        <v/>
      </c>
      <c r="I407" s="4">
        <f>IF(H407&gt;=1,"超预算",IF(H407&gt;=0.9,"预警","正常"))</f>
        <v/>
      </c>
      <c r="J407" s="4">
        <f>RANK(F407,$F$4:$F$1203,0)</f>
        <v/>
      </c>
      <c r="K407" s="4" t="inlineStr">
        <is>
          <t>待启动</t>
        </is>
      </c>
    </row>
    <row r="408">
      <c r="A408" s="4" t="n">
        <v>405</v>
      </c>
      <c r="B408" s="5" t="inlineStr">
        <is>
          <t>PJ-2026-0405</t>
        </is>
      </c>
      <c r="C408" s="6" t="inlineStr">
        <is>
          <t>城东路供水管网更新工程</t>
        </is>
      </c>
      <c r="D408" s="4" t="inlineStr">
        <is>
          <t>刘平</t>
        </is>
      </c>
      <c r="E408" s="7" t="n">
        <v>948</v>
      </c>
      <c r="F408" s="7" t="n">
        <v>673.08</v>
      </c>
      <c r="G408" s="7">
        <f>E408-F408</f>
        <v/>
      </c>
      <c r="H408" s="8">
        <f>IFERROR(F408/E408,0)</f>
        <v/>
      </c>
      <c r="I408" s="4">
        <f>IF(H408&gt;=1,"超预算",IF(H408&gt;=0.9,"预警","正常"))</f>
        <v/>
      </c>
      <c r="J408" s="4">
        <f>RANK(F408,$F$4:$F$1203,0)</f>
        <v/>
      </c>
      <c r="K408" s="4" t="inlineStr">
        <is>
          <t>完工</t>
        </is>
      </c>
    </row>
    <row r="409">
      <c r="A409" s="4" t="n">
        <v>406</v>
      </c>
      <c r="B409" s="5" t="inlineStr">
        <is>
          <t>PJ-2026-0406</t>
        </is>
      </c>
      <c r="C409" s="6" t="inlineStr">
        <is>
          <t>解放路河道综合整治工程（二期）</t>
        </is>
      </c>
      <c r="D409" s="4" t="inlineStr">
        <is>
          <t>陈敏</t>
        </is>
      </c>
      <c r="E409" s="7" t="n">
        <v>1085</v>
      </c>
      <c r="F409" s="7" t="n">
        <v>1085</v>
      </c>
      <c r="G409" s="7">
        <f>E409-F409</f>
        <v/>
      </c>
      <c r="H409" s="8">
        <f>IFERROR(F409/E409,0)</f>
        <v/>
      </c>
      <c r="I409" s="4">
        <f>IF(H409&gt;=1,"超预算",IF(H409&gt;=0.9,"预警","正常"))</f>
        <v/>
      </c>
      <c r="J409" s="4">
        <f>RANK(F409,$F$4:$F$1203,0)</f>
        <v/>
      </c>
      <c r="K409" s="4" t="inlineStr">
        <is>
          <t>在建</t>
        </is>
      </c>
    </row>
    <row r="410">
      <c r="A410" s="4" t="n">
        <v>407</v>
      </c>
      <c r="B410" s="5" t="inlineStr">
        <is>
          <t>PJ-2026-0407</t>
        </is>
      </c>
      <c r="C410" s="6" t="inlineStr">
        <is>
          <t>和平街学校新建工程（三期）</t>
        </is>
      </c>
      <c r="D410" s="4" t="inlineStr">
        <is>
          <t>杨勇</t>
        </is>
      </c>
      <c r="E410" s="7" t="n">
        <v>1222</v>
      </c>
      <c r="F410" s="7" t="n">
        <v>720.98</v>
      </c>
      <c r="G410" s="7">
        <f>E410-F410</f>
        <v/>
      </c>
      <c r="H410" s="8">
        <f>IFERROR(F410/E410,0)</f>
        <v/>
      </c>
      <c r="I410" s="4">
        <f>IF(H410&gt;=1,"超预算",IF(H410&gt;=0.9,"预警","正常"))</f>
        <v/>
      </c>
      <c r="J410" s="4">
        <f>RANK(F410,$F$4:$F$1203,0)</f>
        <v/>
      </c>
      <c r="K410" s="4" t="inlineStr">
        <is>
          <t>待启动</t>
        </is>
      </c>
    </row>
    <row r="411">
      <c r="A411" s="4" t="n">
        <v>408</v>
      </c>
      <c r="B411" s="5" t="inlineStr">
        <is>
          <t>PJ-2026-0408</t>
        </is>
      </c>
      <c r="C411" s="6" t="inlineStr">
        <is>
          <t>光明街医院改扩建项目（四期）</t>
        </is>
      </c>
      <c r="D411" s="4" t="inlineStr">
        <is>
          <t>黄秀</t>
        </is>
      </c>
      <c r="E411" s="7" t="n">
        <v>1359</v>
      </c>
      <c r="F411" s="7" t="n">
        <v>1195.92</v>
      </c>
      <c r="G411" s="7">
        <f>E411-F411</f>
        <v/>
      </c>
      <c r="H411" s="8">
        <f>IFERROR(F411/E411,0)</f>
        <v/>
      </c>
      <c r="I411" s="4">
        <f>IF(H411&gt;=1,"超预算",IF(H411&gt;=0.9,"预警","正常"))</f>
        <v/>
      </c>
      <c r="J411" s="4">
        <f>RANK(F411,$F$4:$F$1203,0)</f>
        <v/>
      </c>
      <c r="K411" s="4" t="inlineStr">
        <is>
          <t>完工</t>
        </is>
      </c>
    </row>
    <row r="412">
      <c r="A412" s="4" t="n">
        <v>409</v>
      </c>
      <c r="B412" s="5" t="inlineStr">
        <is>
          <t>PJ-2026-0409</t>
        </is>
      </c>
      <c r="C412" s="6" t="inlineStr">
        <is>
          <t>城东路公交枢纽建设工程</t>
        </is>
      </c>
      <c r="D412" s="4" t="inlineStr">
        <is>
          <t>周伟</t>
        </is>
      </c>
      <c r="E412" s="7" t="n">
        <v>1496</v>
      </c>
      <c r="F412" s="7" t="n">
        <v>703.12</v>
      </c>
      <c r="G412" s="7">
        <f>E412-F412</f>
        <v/>
      </c>
      <c r="H412" s="8">
        <f>IFERROR(F412/E412,0)</f>
        <v/>
      </c>
      <c r="I412" s="4">
        <f>IF(H412&gt;=1,"超预算",IF(H412&gt;=0.9,"预警","正常"))</f>
        <v/>
      </c>
      <c r="J412" s="4">
        <f>RANK(F412,$F$4:$F$1203,0)</f>
        <v/>
      </c>
      <c r="K412" s="4" t="inlineStr">
        <is>
          <t>在建</t>
        </is>
      </c>
    </row>
    <row r="413">
      <c r="A413" s="4" t="n">
        <v>410</v>
      </c>
      <c r="B413" s="5" t="inlineStr">
        <is>
          <t>PJ-2026-0410</t>
        </is>
      </c>
      <c r="C413" s="6" t="inlineStr">
        <is>
          <t>解放路公共停车场建设工程（二期）</t>
        </is>
      </c>
      <c r="D413" s="4" t="inlineStr">
        <is>
          <t>吴磊</t>
        </is>
      </c>
      <c r="E413" s="7" t="n">
        <v>1633</v>
      </c>
      <c r="F413" s="7" t="n">
        <v>1241.08</v>
      </c>
      <c r="G413" s="7">
        <f>E413-F413</f>
        <v/>
      </c>
      <c r="H413" s="8">
        <f>IFERROR(F413/E413,0)</f>
        <v/>
      </c>
      <c r="I413" s="4">
        <f>IF(H413&gt;=1,"超预算",IF(H413&gt;=0.9,"预警","正常"))</f>
        <v/>
      </c>
      <c r="J413" s="4">
        <f>RANK(F413,$F$4:$F$1203,0)</f>
        <v/>
      </c>
      <c r="K413" s="4" t="inlineStr">
        <is>
          <t>待启动</t>
        </is>
      </c>
    </row>
    <row r="414">
      <c r="A414" s="4" t="n">
        <v>411</v>
      </c>
      <c r="B414" s="5" t="inlineStr">
        <is>
          <t>PJ-2026-0411</t>
        </is>
      </c>
      <c r="C414" s="6" t="inlineStr">
        <is>
          <t>和平街道路改造工程（三期）</t>
        </is>
      </c>
      <c r="D414" s="4" t="inlineStr">
        <is>
          <t>徐涛</t>
        </is>
      </c>
      <c r="E414" s="7" t="n">
        <v>1770</v>
      </c>
      <c r="F414" s="7" t="n">
        <v>1858.5</v>
      </c>
      <c r="G414" s="7">
        <f>E414-F414</f>
        <v/>
      </c>
      <c r="H414" s="8">
        <f>IFERROR(F414/E414,0)</f>
        <v/>
      </c>
      <c r="I414" s="4">
        <f>IF(H414&gt;=1,"超预算",IF(H414&gt;=0.9,"预警","正常"))</f>
        <v/>
      </c>
      <c r="J414" s="4">
        <f>RANK(F414,$F$4:$F$1203,0)</f>
        <v/>
      </c>
      <c r="K414" s="4" t="inlineStr">
        <is>
          <t>完工</t>
        </is>
      </c>
    </row>
    <row r="415">
      <c r="A415" s="4" t="n">
        <v>412</v>
      </c>
      <c r="B415" s="5" t="inlineStr">
        <is>
          <t>PJ-2026-0412</t>
        </is>
      </c>
      <c r="C415" s="6" t="inlineStr">
        <is>
          <t>光明街老旧小区改造项目（四期）</t>
        </is>
      </c>
      <c r="D415" s="4" t="inlineStr">
        <is>
          <t>孙刚</t>
        </is>
      </c>
      <c r="E415" s="7" t="n">
        <v>1907</v>
      </c>
      <c r="F415" s="7" t="n">
        <v>1220.48</v>
      </c>
      <c r="G415" s="7">
        <f>E415-F415</f>
        <v/>
      </c>
      <c r="H415" s="8">
        <f>IFERROR(F415/E415,0)</f>
        <v/>
      </c>
      <c r="I415" s="4">
        <f>IF(H415&gt;=1,"超预算",IF(H415&gt;=0.9,"预警","正常"))</f>
        <v/>
      </c>
      <c r="J415" s="4">
        <f>RANK(F415,$F$4:$F$1203,0)</f>
        <v/>
      </c>
      <c r="K415" s="4" t="inlineStr">
        <is>
          <t>在建</t>
        </is>
      </c>
    </row>
    <row r="416">
      <c r="A416" s="4" t="n">
        <v>413</v>
      </c>
      <c r="B416" s="5" t="inlineStr">
        <is>
          <t>PJ-2026-0413</t>
        </is>
      </c>
      <c r="C416" s="6" t="inlineStr">
        <is>
          <t>城东路智慧园区建设项目</t>
        </is>
      </c>
      <c r="D416" s="4" t="inlineStr">
        <is>
          <t>马静</t>
        </is>
      </c>
      <c r="E416" s="7" t="n">
        <v>2044</v>
      </c>
      <c r="F416" s="7" t="n">
        <v>1900.92</v>
      </c>
      <c r="G416" s="7">
        <f>E416-F416</f>
        <v/>
      </c>
      <c r="H416" s="8">
        <f>IFERROR(F416/E416,0)</f>
        <v/>
      </c>
      <c r="I416" s="4">
        <f>IF(H416&gt;=1,"超预算",IF(H416&gt;=0.9,"预警","正常"))</f>
        <v/>
      </c>
      <c r="J416" s="4">
        <f>RANK(F416,$F$4:$F$1203,0)</f>
        <v/>
      </c>
      <c r="K416" s="4" t="inlineStr">
        <is>
          <t>待启动</t>
        </is>
      </c>
    </row>
    <row r="417">
      <c r="A417" s="4" t="n">
        <v>414</v>
      </c>
      <c r="B417" s="5" t="inlineStr">
        <is>
          <t>PJ-2026-0414</t>
        </is>
      </c>
      <c r="C417" s="6" t="inlineStr">
        <is>
          <t>解放路污水处理扩容工程（二期）</t>
        </is>
      </c>
      <c r="D417" s="4" t="inlineStr">
        <is>
          <t>朱艳</t>
        </is>
      </c>
      <c r="E417" s="7" t="n">
        <v>2181</v>
      </c>
      <c r="F417" s="7" t="n">
        <v>1134.12</v>
      </c>
      <c r="G417" s="7">
        <f>E417-F417</f>
        <v/>
      </c>
      <c r="H417" s="8">
        <f>IFERROR(F417/E417,0)</f>
        <v/>
      </c>
      <c r="I417" s="4">
        <f>IF(H417&gt;=1,"超预算",IF(H417&gt;=0.9,"预警","正常"))</f>
        <v/>
      </c>
      <c r="J417" s="4">
        <f>RANK(F417,$F$4:$F$1203,0)</f>
        <v/>
      </c>
      <c r="K417" s="4" t="inlineStr">
        <is>
          <t>完工</t>
        </is>
      </c>
    </row>
    <row r="418">
      <c r="A418" s="4" t="n">
        <v>415</v>
      </c>
      <c r="B418" s="5" t="inlineStr">
        <is>
          <t>PJ-2026-0415</t>
        </is>
      </c>
      <c r="C418" s="6" t="inlineStr">
        <is>
          <t>和平街供水管网更新工程（三期）</t>
        </is>
      </c>
      <c r="D418" s="4" t="inlineStr">
        <is>
          <t>胡英</t>
        </is>
      </c>
      <c r="E418" s="7" t="n">
        <v>2318</v>
      </c>
      <c r="F418" s="7" t="n">
        <v>1877.58</v>
      </c>
      <c r="G418" s="7">
        <f>E418-F418</f>
        <v/>
      </c>
      <c r="H418" s="8">
        <f>IFERROR(F418/E418,0)</f>
        <v/>
      </c>
      <c r="I418" s="4">
        <f>IF(H418&gt;=1,"超预算",IF(H418&gt;=0.9,"预警","正常"))</f>
        <v/>
      </c>
      <c r="J418" s="4">
        <f>RANK(F418,$F$4:$F$1203,0)</f>
        <v/>
      </c>
      <c r="K418" s="4" t="inlineStr">
        <is>
          <t>在建</t>
        </is>
      </c>
    </row>
    <row r="419">
      <c r="A419" s="4" t="n">
        <v>416</v>
      </c>
      <c r="B419" s="5" t="inlineStr">
        <is>
          <t>PJ-2026-0416</t>
        </is>
      </c>
      <c r="C419" s="6" t="inlineStr">
        <is>
          <t>光明街河道综合整治工程（四期）</t>
        </is>
      </c>
      <c r="D419" s="4" t="inlineStr">
        <is>
          <t>郭芳</t>
        </is>
      </c>
      <c r="E419" s="7" t="n">
        <v>2455</v>
      </c>
      <c r="F419" s="7" t="n">
        <v>2700.5</v>
      </c>
      <c r="G419" s="7">
        <f>E419-F419</f>
        <v/>
      </c>
      <c r="H419" s="8">
        <f>IFERROR(F419/E419,0)</f>
        <v/>
      </c>
      <c r="I419" s="4">
        <f>IF(H419&gt;=1,"超预算",IF(H419&gt;=0.9,"预警","正常"))</f>
        <v/>
      </c>
      <c r="J419" s="4">
        <f>RANK(F419,$F$4:$F$1203,0)</f>
        <v/>
      </c>
      <c r="K419" s="4" t="inlineStr">
        <is>
          <t>待启动</t>
        </is>
      </c>
    </row>
    <row r="420">
      <c r="A420" s="4" t="n">
        <v>417</v>
      </c>
      <c r="B420" s="5" t="inlineStr">
        <is>
          <t>PJ-2026-0417</t>
        </is>
      </c>
      <c r="C420" s="6" t="inlineStr">
        <is>
          <t>城东路学校新建工程</t>
        </is>
      </c>
      <c r="D420" s="4" t="inlineStr">
        <is>
          <t>何军</t>
        </is>
      </c>
      <c r="E420" s="7" t="n">
        <v>2592</v>
      </c>
      <c r="F420" s="7" t="n">
        <v>1788.48</v>
      </c>
      <c r="G420" s="7">
        <f>E420-F420</f>
        <v/>
      </c>
      <c r="H420" s="8">
        <f>IFERROR(F420/E420,0)</f>
        <v/>
      </c>
      <c r="I420" s="4">
        <f>IF(H420&gt;=1,"超预算",IF(H420&gt;=0.9,"预警","正常"))</f>
        <v/>
      </c>
      <c r="J420" s="4">
        <f>RANK(F420,$F$4:$F$1203,0)</f>
        <v/>
      </c>
      <c r="K420" s="4" t="inlineStr">
        <is>
          <t>完工</t>
        </is>
      </c>
    </row>
    <row r="421">
      <c r="A421" s="4" t="n">
        <v>418</v>
      </c>
      <c r="B421" s="5" t="inlineStr">
        <is>
          <t>PJ-2026-0418</t>
        </is>
      </c>
      <c r="C421" s="6" t="inlineStr">
        <is>
          <t>解放路医院改扩建项目（二期）</t>
        </is>
      </c>
      <c r="D421" s="4" t="inlineStr">
        <is>
          <t>高明</t>
        </is>
      </c>
      <c r="E421" s="7" t="n">
        <v>2729</v>
      </c>
      <c r="F421" s="7" t="n">
        <v>2674.42</v>
      </c>
      <c r="G421" s="7">
        <f>E421-F421</f>
        <v/>
      </c>
      <c r="H421" s="8">
        <f>IFERROR(F421/E421,0)</f>
        <v/>
      </c>
      <c r="I421" s="4">
        <f>IF(H421&gt;=1,"超预算",IF(H421&gt;=0.9,"预警","正常"))</f>
        <v/>
      </c>
      <c r="J421" s="4">
        <f>RANK(F421,$F$4:$F$1203,0)</f>
        <v/>
      </c>
      <c r="K421" s="4" t="inlineStr">
        <is>
          <t>在建</t>
        </is>
      </c>
    </row>
    <row r="422">
      <c r="A422" s="4" t="n">
        <v>419</v>
      </c>
      <c r="B422" s="5" t="inlineStr">
        <is>
          <t>PJ-2026-0419</t>
        </is>
      </c>
      <c r="C422" s="6" t="inlineStr">
        <is>
          <t>和平街公交枢纽建设工程（三期）</t>
        </is>
      </c>
      <c r="D422" s="4" t="inlineStr">
        <is>
          <t>林桂</t>
        </is>
      </c>
      <c r="E422" s="7" t="n">
        <v>2866</v>
      </c>
      <c r="F422" s="7" t="n">
        <v>1633.62</v>
      </c>
      <c r="G422" s="7">
        <f>E422-F422</f>
        <v/>
      </c>
      <c r="H422" s="8">
        <f>IFERROR(F422/E422,0)</f>
        <v/>
      </c>
      <c r="I422" s="4">
        <f>IF(H422&gt;=1,"超预算",IF(H422&gt;=0.9,"预警","正常"))</f>
        <v/>
      </c>
      <c r="J422" s="4">
        <f>RANK(F422,$F$4:$F$1203,0)</f>
        <v/>
      </c>
      <c r="K422" s="4" t="inlineStr">
        <is>
          <t>待启动</t>
        </is>
      </c>
    </row>
    <row r="423">
      <c r="A423" s="4" t="n">
        <v>420</v>
      </c>
      <c r="B423" s="5" t="inlineStr">
        <is>
          <t>PJ-2026-0420</t>
        </is>
      </c>
      <c r="C423" s="6" t="inlineStr">
        <is>
          <t>光明街公共停车场建设工程（四期）</t>
        </is>
      </c>
      <c r="D423" s="4" t="inlineStr">
        <is>
          <t>罗丽</t>
        </is>
      </c>
      <c r="E423" s="7" t="n">
        <v>3003</v>
      </c>
      <c r="F423" s="7" t="n">
        <v>2582.58</v>
      </c>
      <c r="G423" s="7">
        <f>E423-F423</f>
        <v/>
      </c>
      <c r="H423" s="8">
        <f>IFERROR(F423/E423,0)</f>
        <v/>
      </c>
      <c r="I423" s="4">
        <f>IF(H423&gt;=1,"超预算",IF(H423&gt;=0.9,"预警","正常"))</f>
        <v/>
      </c>
      <c r="J423" s="4">
        <f>RANK(F423,$F$4:$F$1203,0)</f>
        <v/>
      </c>
      <c r="K423" s="4" t="inlineStr">
        <is>
          <t>完工</t>
        </is>
      </c>
    </row>
    <row r="424">
      <c r="A424" s="4" t="n">
        <v>421</v>
      </c>
      <c r="B424" s="5" t="inlineStr">
        <is>
          <t>PJ-2026-0421</t>
        </is>
      </c>
      <c r="C424" s="6" t="inlineStr">
        <is>
          <t>城东路道路改造工程</t>
        </is>
      </c>
      <c r="D424" s="4" t="inlineStr">
        <is>
          <t>张杰</t>
        </is>
      </c>
      <c r="E424" s="7" t="n">
        <v>3140</v>
      </c>
      <c r="F424" s="7" t="n">
        <v>1413</v>
      </c>
      <c r="G424" s="7">
        <f>E424-F424</f>
        <v/>
      </c>
      <c r="H424" s="8">
        <f>IFERROR(F424/E424,0)</f>
        <v/>
      </c>
      <c r="I424" s="4">
        <f>IF(H424&gt;=1,"超预算",IF(H424&gt;=0.9,"预警","正常"))</f>
        <v/>
      </c>
      <c r="J424" s="4">
        <f>RANK(F424,$F$4:$F$1203,0)</f>
        <v/>
      </c>
      <c r="K424" s="4" t="inlineStr">
        <is>
          <t>在建</t>
        </is>
      </c>
    </row>
    <row r="425">
      <c r="A425" s="4" t="n">
        <v>422</v>
      </c>
      <c r="B425" s="5" t="inlineStr">
        <is>
          <t>PJ-2026-0422</t>
        </is>
      </c>
      <c r="C425" s="6" t="inlineStr">
        <is>
          <t>解放路老旧小区改造项目（二期）</t>
        </is>
      </c>
      <c r="D425" s="4" t="inlineStr">
        <is>
          <t>王霞</t>
        </is>
      </c>
      <c r="E425" s="7" t="n">
        <v>3277</v>
      </c>
      <c r="F425" s="7" t="n">
        <v>2424.98</v>
      </c>
      <c r="G425" s="7">
        <f>E425-F425</f>
        <v/>
      </c>
      <c r="H425" s="8">
        <f>IFERROR(F425/E425,0)</f>
        <v/>
      </c>
      <c r="I425" s="4">
        <f>IF(H425&gt;=1,"超预算",IF(H425&gt;=0.9,"预警","正常"))</f>
        <v/>
      </c>
      <c r="J425" s="4">
        <f>RANK(F425,$F$4:$F$1203,0)</f>
        <v/>
      </c>
      <c r="K425" s="4" t="inlineStr">
        <is>
          <t>待启动</t>
        </is>
      </c>
    </row>
    <row r="426">
      <c r="A426" s="4" t="n">
        <v>423</v>
      </c>
      <c r="B426" s="5" t="inlineStr">
        <is>
          <t>PJ-2026-0423</t>
        </is>
      </c>
      <c r="C426" s="6" t="inlineStr">
        <is>
          <t>和平街智慧园区建设项目（三期）</t>
        </is>
      </c>
      <c r="D426" s="4" t="inlineStr">
        <is>
          <t>李娜</t>
        </is>
      </c>
      <c r="E426" s="7" t="n">
        <v>3414</v>
      </c>
      <c r="F426" s="7" t="n">
        <v>3516.42</v>
      </c>
      <c r="G426" s="7">
        <f>E426-F426</f>
        <v/>
      </c>
      <c r="H426" s="8">
        <f>IFERROR(F426/E426,0)</f>
        <v/>
      </c>
      <c r="I426" s="4">
        <f>IF(H426&gt;=1,"超预算",IF(H426&gt;=0.9,"预警","正常"))</f>
        <v/>
      </c>
      <c r="J426" s="4">
        <f>RANK(F426,$F$4:$F$1203,0)</f>
        <v/>
      </c>
      <c r="K426" s="4" t="inlineStr">
        <is>
          <t>完工</t>
        </is>
      </c>
    </row>
    <row r="427">
      <c r="A427" s="4" t="n">
        <v>424</v>
      </c>
      <c r="B427" s="5" t="inlineStr">
        <is>
          <t>PJ-2026-0424</t>
        </is>
      </c>
      <c r="C427" s="6" t="inlineStr">
        <is>
          <t>光明街污水处理扩容工程（四期）</t>
        </is>
      </c>
      <c r="D427" s="4" t="inlineStr">
        <is>
          <t>赵洋</t>
        </is>
      </c>
      <c r="E427" s="7" t="n">
        <v>3551</v>
      </c>
      <c r="F427" s="7" t="n">
        <v>2201.62</v>
      </c>
      <c r="G427" s="7">
        <f>E427-F427</f>
        <v/>
      </c>
      <c r="H427" s="8">
        <f>IFERROR(F427/E427,0)</f>
        <v/>
      </c>
      <c r="I427" s="4">
        <f>IF(H427&gt;=1,"超预算",IF(H427&gt;=0.9,"预警","正常"))</f>
        <v/>
      </c>
      <c r="J427" s="4">
        <f>RANK(F427,$F$4:$F$1203,0)</f>
        <v/>
      </c>
      <c r="K427" s="4" t="inlineStr">
        <is>
          <t>在建</t>
        </is>
      </c>
    </row>
    <row r="428">
      <c r="A428" s="4" t="n">
        <v>425</v>
      </c>
      <c r="B428" s="5" t="inlineStr">
        <is>
          <t>PJ-2026-0425</t>
        </is>
      </c>
      <c r="C428" s="6" t="inlineStr">
        <is>
          <t>城东路供水管网更新工程</t>
        </is>
      </c>
      <c r="D428" s="4" t="inlineStr">
        <is>
          <t>刘超</t>
        </is>
      </c>
      <c r="E428" s="7" t="n">
        <v>3688</v>
      </c>
      <c r="F428" s="7" t="n">
        <v>3356.08</v>
      </c>
      <c r="G428" s="7">
        <f>E428-F428</f>
        <v/>
      </c>
      <c r="H428" s="8">
        <f>IFERROR(F428/E428,0)</f>
        <v/>
      </c>
      <c r="I428" s="4">
        <f>IF(H428&gt;=1,"超预算",IF(H428&gt;=0.9,"预警","正常"))</f>
        <v/>
      </c>
      <c r="J428" s="4">
        <f>RANK(F428,$F$4:$F$1203,0)</f>
        <v/>
      </c>
      <c r="K428" s="4" t="inlineStr">
        <is>
          <t>待启动</t>
        </is>
      </c>
    </row>
    <row r="429">
      <c r="A429" s="4" t="n">
        <v>426</v>
      </c>
      <c r="B429" s="5" t="inlineStr">
        <is>
          <t>PJ-2026-0426</t>
        </is>
      </c>
      <c r="C429" s="6" t="inlineStr">
        <is>
          <t>解放路河道综合整治工程（二期）</t>
        </is>
      </c>
      <c r="D429" s="4" t="inlineStr">
        <is>
          <t>陈英</t>
        </is>
      </c>
      <c r="E429" s="7" t="n">
        <v>3825</v>
      </c>
      <c r="F429" s="7" t="n">
        <v>1912.5</v>
      </c>
      <c r="G429" s="7">
        <f>E429-F429</f>
        <v/>
      </c>
      <c r="H429" s="8">
        <f>IFERROR(F429/E429,0)</f>
        <v/>
      </c>
      <c r="I429" s="4">
        <f>IF(H429&gt;=1,"超预算",IF(H429&gt;=0.9,"预警","正常"))</f>
        <v/>
      </c>
      <c r="J429" s="4">
        <f>RANK(F429,$F$4:$F$1203,0)</f>
        <v/>
      </c>
      <c r="K429" s="4" t="inlineStr">
        <is>
          <t>完工</t>
        </is>
      </c>
    </row>
    <row r="430">
      <c r="A430" s="4" t="n">
        <v>427</v>
      </c>
      <c r="B430" s="5" t="inlineStr">
        <is>
          <t>PJ-2026-0427</t>
        </is>
      </c>
      <c r="C430" s="6" t="inlineStr">
        <is>
          <t>和平街学校新建工程（三期）</t>
        </is>
      </c>
      <c r="D430" s="4" t="inlineStr">
        <is>
          <t>杨强</t>
        </is>
      </c>
      <c r="E430" s="7" t="n">
        <v>3962</v>
      </c>
      <c r="F430" s="7" t="n">
        <v>3129.98</v>
      </c>
      <c r="G430" s="7">
        <f>E430-F430</f>
        <v/>
      </c>
      <c r="H430" s="8">
        <f>IFERROR(F430/E430,0)</f>
        <v/>
      </c>
      <c r="I430" s="4">
        <f>IF(H430&gt;=1,"超预算",IF(H430&gt;=0.9,"预警","正常"))</f>
        <v/>
      </c>
      <c r="J430" s="4">
        <f>RANK(F430,$F$4:$F$1203,0)</f>
        <v/>
      </c>
      <c r="K430" s="4" t="inlineStr">
        <is>
          <t>在建</t>
        </is>
      </c>
    </row>
    <row r="431">
      <c r="A431" s="4" t="n">
        <v>428</v>
      </c>
      <c r="B431" s="5" t="inlineStr">
        <is>
          <t>PJ-2026-0428</t>
        </is>
      </c>
      <c r="C431" s="6" t="inlineStr">
        <is>
          <t>光明街医院改扩建项目（四期）</t>
        </is>
      </c>
      <c r="D431" s="4" t="inlineStr">
        <is>
          <t>黄娟</t>
        </is>
      </c>
      <c r="E431" s="7" t="n">
        <v>4099</v>
      </c>
      <c r="F431" s="7" t="n">
        <v>4426.92</v>
      </c>
      <c r="G431" s="7">
        <f>E431-F431</f>
        <v/>
      </c>
      <c r="H431" s="8">
        <f>IFERROR(F431/E431,0)</f>
        <v/>
      </c>
      <c r="I431" s="4">
        <f>IF(H431&gt;=1,"超预算",IF(H431&gt;=0.9,"预警","正常"))</f>
        <v/>
      </c>
      <c r="J431" s="4">
        <f>RANK(F431,$F$4:$F$1203,0)</f>
        <v/>
      </c>
      <c r="K431" s="4" t="inlineStr">
        <is>
          <t>待启动</t>
        </is>
      </c>
    </row>
    <row r="432">
      <c r="A432" s="4" t="n">
        <v>429</v>
      </c>
      <c r="B432" s="5" t="inlineStr">
        <is>
          <t>PJ-2026-0429</t>
        </is>
      </c>
      <c r="C432" s="6" t="inlineStr">
        <is>
          <t>城东路公交枢纽建设工程</t>
        </is>
      </c>
      <c r="D432" s="4" t="inlineStr">
        <is>
          <t>周平</t>
        </is>
      </c>
      <c r="E432" s="7" t="n">
        <v>4236</v>
      </c>
      <c r="F432" s="7" t="n">
        <v>2838.12</v>
      </c>
      <c r="G432" s="7">
        <f>E432-F432</f>
        <v/>
      </c>
      <c r="H432" s="8">
        <f>IFERROR(F432/E432,0)</f>
        <v/>
      </c>
      <c r="I432" s="4">
        <f>IF(H432&gt;=1,"超预算",IF(H432&gt;=0.9,"预警","正常"))</f>
        <v/>
      </c>
      <c r="J432" s="4">
        <f>RANK(F432,$F$4:$F$1203,0)</f>
        <v/>
      </c>
      <c r="K432" s="4" t="inlineStr">
        <is>
          <t>完工</t>
        </is>
      </c>
    </row>
    <row r="433">
      <c r="A433" s="4" t="n">
        <v>430</v>
      </c>
      <c r="B433" s="5" t="inlineStr">
        <is>
          <t>PJ-2026-0430</t>
        </is>
      </c>
      <c r="C433" s="6" t="inlineStr">
        <is>
          <t>解放路公共停车场建设工程（二期）</t>
        </is>
      </c>
      <c r="D433" s="4" t="inlineStr">
        <is>
          <t>吴敏</t>
        </is>
      </c>
      <c r="E433" s="7" t="n">
        <v>4373</v>
      </c>
      <c r="F433" s="7" t="n">
        <v>4198.08</v>
      </c>
      <c r="G433" s="7">
        <f>E433-F433</f>
        <v/>
      </c>
      <c r="H433" s="8">
        <f>IFERROR(F433/E433,0)</f>
        <v/>
      </c>
      <c r="I433" s="4">
        <f>IF(H433&gt;=1,"超预算",IF(H433&gt;=0.9,"预警","正常"))</f>
        <v/>
      </c>
      <c r="J433" s="4">
        <f>RANK(F433,$F$4:$F$1203,0)</f>
        <v/>
      </c>
      <c r="K433" s="4" t="inlineStr">
        <is>
          <t>在建</t>
        </is>
      </c>
    </row>
    <row r="434">
      <c r="A434" s="4" t="n">
        <v>431</v>
      </c>
      <c r="B434" s="5" t="inlineStr">
        <is>
          <t>PJ-2026-0431</t>
        </is>
      </c>
      <c r="C434" s="6" t="inlineStr">
        <is>
          <t>和平街道路改造工程（三期）</t>
        </is>
      </c>
      <c r="D434" s="4" t="inlineStr">
        <is>
          <t>徐勇</t>
        </is>
      </c>
      <c r="E434" s="7" t="n">
        <v>4510</v>
      </c>
      <c r="F434" s="7" t="n">
        <v>2480.5</v>
      </c>
      <c r="G434" s="7">
        <f>E434-F434</f>
        <v/>
      </c>
      <c r="H434" s="8">
        <f>IFERROR(F434/E434,0)</f>
        <v/>
      </c>
      <c r="I434" s="4">
        <f>IF(H434&gt;=1,"超预算",IF(H434&gt;=0.9,"预警","正常"))</f>
        <v/>
      </c>
      <c r="J434" s="4">
        <f>RANK(F434,$F$4:$F$1203,0)</f>
        <v/>
      </c>
      <c r="K434" s="4" t="inlineStr">
        <is>
          <t>待启动</t>
        </is>
      </c>
    </row>
    <row r="435">
      <c r="A435" s="4" t="n">
        <v>432</v>
      </c>
      <c r="B435" s="5" t="inlineStr">
        <is>
          <t>PJ-2026-0432</t>
        </is>
      </c>
      <c r="C435" s="6" t="inlineStr">
        <is>
          <t>光明街老旧小区改造项目（四期）</t>
        </is>
      </c>
      <c r="D435" s="4" t="inlineStr">
        <is>
          <t>孙秀</t>
        </is>
      </c>
      <c r="E435" s="7" t="n">
        <v>4647</v>
      </c>
      <c r="F435" s="7" t="n">
        <v>3903.48</v>
      </c>
      <c r="G435" s="7">
        <f>E435-F435</f>
        <v/>
      </c>
      <c r="H435" s="8">
        <f>IFERROR(F435/E435,0)</f>
        <v/>
      </c>
      <c r="I435" s="4">
        <f>IF(H435&gt;=1,"超预算",IF(H435&gt;=0.9,"预警","正常"))</f>
        <v/>
      </c>
      <c r="J435" s="4">
        <f>RANK(F435,$F$4:$F$1203,0)</f>
        <v/>
      </c>
      <c r="K435" s="4" t="inlineStr">
        <is>
          <t>完工</t>
        </is>
      </c>
    </row>
    <row r="436">
      <c r="A436" s="4" t="n">
        <v>433</v>
      </c>
      <c r="B436" s="5" t="inlineStr">
        <is>
          <t>PJ-2026-0433</t>
        </is>
      </c>
      <c r="C436" s="6" t="inlineStr">
        <is>
          <t>城东路智慧园区建设项目</t>
        </is>
      </c>
      <c r="D436" s="4" t="inlineStr">
        <is>
          <t>马伟</t>
        </is>
      </c>
      <c r="E436" s="7" t="n">
        <v>4784</v>
      </c>
      <c r="F436" s="7" t="n">
        <v>5405.92</v>
      </c>
      <c r="G436" s="7">
        <f>E436-F436</f>
        <v/>
      </c>
      <c r="H436" s="8">
        <f>IFERROR(F436/E436,0)</f>
        <v/>
      </c>
      <c r="I436" s="4">
        <f>IF(H436&gt;=1,"超预算",IF(H436&gt;=0.9,"预警","正常"))</f>
        <v/>
      </c>
      <c r="J436" s="4">
        <f>RANK(F436,$F$4:$F$1203,0)</f>
        <v/>
      </c>
      <c r="K436" s="4" t="inlineStr">
        <is>
          <t>在建</t>
        </is>
      </c>
    </row>
    <row r="437">
      <c r="A437" s="4" t="n">
        <v>434</v>
      </c>
      <c r="B437" s="5" t="inlineStr">
        <is>
          <t>PJ-2026-0434</t>
        </is>
      </c>
      <c r="C437" s="6" t="inlineStr">
        <is>
          <t>解放路污水处理扩容工程（二期）</t>
        </is>
      </c>
      <c r="D437" s="4" t="inlineStr">
        <is>
          <t>朱磊</t>
        </is>
      </c>
      <c r="E437" s="7" t="n">
        <v>4921</v>
      </c>
      <c r="F437" s="7" t="n">
        <v>3543.12</v>
      </c>
      <c r="G437" s="7">
        <f>E437-F437</f>
        <v/>
      </c>
      <c r="H437" s="8">
        <f>IFERROR(F437/E437,0)</f>
        <v/>
      </c>
      <c r="I437" s="4">
        <f>IF(H437&gt;=1,"超预算",IF(H437&gt;=0.9,"预警","正常"))</f>
        <v/>
      </c>
      <c r="J437" s="4">
        <f>RANK(F437,$F$4:$F$1203,0)</f>
        <v/>
      </c>
      <c r="K437" s="4" t="inlineStr">
        <is>
          <t>待启动</t>
        </is>
      </c>
    </row>
    <row r="438">
      <c r="A438" s="4" t="n">
        <v>435</v>
      </c>
      <c r="B438" s="5" t="inlineStr">
        <is>
          <t>PJ-2026-0435</t>
        </is>
      </c>
      <c r="C438" s="6" t="inlineStr">
        <is>
          <t>和平街供水管网更新工程（三期）</t>
        </is>
      </c>
      <c r="D438" s="4" t="inlineStr">
        <is>
          <t>胡涛</t>
        </is>
      </c>
      <c r="E438" s="7" t="n">
        <v>108</v>
      </c>
      <c r="F438" s="7" t="n">
        <v>109.08</v>
      </c>
      <c r="G438" s="7">
        <f>E438-F438</f>
        <v/>
      </c>
      <c r="H438" s="8">
        <f>IFERROR(F438/E438,0)</f>
        <v/>
      </c>
      <c r="I438" s="4">
        <f>IF(H438&gt;=1,"超预算",IF(H438&gt;=0.9,"预警","正常"))</f>
        <v/>
      </c>
      <c r="J438" s="4">
        <f>RANK(F438,$F$4:$F$1203,0)</f>
        <v/>
      </c>
      <c r="K438" s="4" t="inlineStr">
        <is>
          <t>完工</t>
        </is>
      </c>
    </row>
    <row r="439">
      <c r="A439" s="4" t="n">
        <v>436</v>
      </c>
      <c r="B439" s="5" t="inlineStr">
        <is>
          <t>PJ-2026-0436</t>
        </is>
      </c>
      <c r="C439" s="6" t="inlineStr">
        <is>
          <t>光明街河道综合整治工程（四期）</t>
        </is>
      </c>
      <c r="D439" s="4" t="inlineStr">
        <is>
          <t>郭刚</t>
        </is>
      </c>
      <c r="E439" s="7" t="n">
        <v>245</v>
      </c>
      <c r="F439" s="7" t="n">
        <v>147</v>
      </c>
      <c r="G439" s="7">
        <f>E439-F439</f>
        <v/>
      </c>
      <c r="H439" s="8">
        <f>IFERROR(F439/E439,0)</f>
        <v/>
      </c>
      <c r="I439" s="4">
        <f>IF(H439&gt;=1,"超预算",IF(H439&gt;=0.9,"预警","正常"))</f>
        <v/>
      </c>
      <c r="J439" s="4">
        <f>RANK(F439,$F$4:$F$1203,0)</f>
        <v/>
      </c>
      <c r="K439" s="4" t="inlineStr">
        <is>
          <t>在建</t>
        </is>
      </c>
    </row>
    <row r="440">
      <c r="A440" s="4" t="n">
        <v>437</v>
      </c>
      <c r="B440" s="5" t="inlineStr">
        <is>
          <t>PJ-2026-0437</t>
        </is>
      </c>
      <c r="C440" s="6" t="inlineStr">
        <is>
          <t>城东路学校新建工程</t>
        </is>
      </c>
      <c r="D440" s="4" t="inlineStr">
        <is>
          <t>何静</t>
        </is>
      </c>
      <c r="E440" s="7" t="n">
        <v>382</v>
      </c>
      <c r="F440" s="7" t="n">
        <v>339.98</v>
      </c>
      <c r="G440" s="7">
        <f>E440-F440</f>
        <v/>
      </c>
      <c r="H440" s="8">
        <f>IFERROR(F440/E440,0)</f>
        <v/>
      </c>
      <c r="I440" s="4">
        <f>IF(H440&gt;=1,"超预算",IF(H440&gt;=0.9,"预警","正常"))</f>
        <v/>
      </c>
      <c r="J440" s="4">
        <f>RANK(F440,$F$4:$F$1203,0)</f>
        <v/>
      </c>
      <c r="K440" s="4" t="inlineStr">
        <is>
          <t>待启动</t>
        </is>
      </c>
    </row>
    <row r="441">
      <c r="A441" s="4" t="n">
        <v>438</v>
      </c>
      <c r="B441" s="5" t="inlineStr">
        <is>
          <t>PJ-2026-0438</t>
        </is>
      </c>
      <c r="C441" s="6" t="inlineStr">
        <is>
          <t>解放路医院改扩建项目（二期）</t>
        </is>
      </c>
      <c r="D441" s="4" t="inlineStr">
        <is>
          <t>高艳</t>
        </is>
      </c>
      <c r="E441" s="7" t="n">
        <v>519</v>
      </c>
      <c r="F441" s="7" t="n">
        <v>249.12</v>
      </c>
      <c r="G441" s="7">
        <f>E441-F441</f>
        <v/>
      </c>
      <c r="H441" s="8">
        <f>IFERROR(F441/E441,0)</f>
        <v/>
      </c>
      <c r="I441" s="4">
        <f>IF(H441&gt;=1,"超预算",IF(H441&gt;=0.9,"预警","正常"))</f>
        <v/>
      </c>
      <c r="J441" s="4">
        <f>RANK(F441,$F$4:$F$1203,0)</f>
        <v/>
      </c>
      <c r="K441" s="4" t="inlineStr">
        <is>
          <t>完工</t>
        </is>
      </c>
    </row>
    <row r="442">
      <c r="A442" s="4" t="n">
        <v>439</v>
      </c>
      <c r="B442" s="5" t="inlineStr">
        <is>
          <t>PJ-2026-0439</t>
        </is>
      </c>
      <c r="C442" s="6" t="inlineStr">
        <is>
          <t>和平街公交枢纽建设工程（三期）</t>
        </is>
      </c>
      <c r="D442" s="4" t="inlineStr">
        <is>
          <t>林英</t>
        </is>
      </c>
      <c r="E442" s="7" t="n">
        <v>656</v>
      </c>
      <c r="F442" s="7" t="n">
        <v>505.12</v>
      </c>
      <c r="G442" s="7">
        <f>E442-F442</f>
        <v/>
      </c>
      <c r="H442" s="8">
        <f>IFERROR(F442/E442,0)</f>
        <v/>
      </c>
      <c r="I442" s="4">
        <f>IF(H442&gt;=1,"超预算",IF(H442&gt;=0.9,"预警","正常"))</f>
        <v/>
      </c>
      <c r="J442" s="4">
        <f>RANK(F442,$F$4:$F$1203,0)</f>
        <v/>
      </c>
      <c r="K442" s="4" t="inlineStr">
        <is>
          <t>在建</t>
        </is>
      </c>
    </row>
    <row r="443">
      <c r="A443" s="4" t="n">
        <v>440</v>
      </c>
      <c r="B443" s="5" t="inlineStr">
        <is>
          <t>PJ-2026-0440</t>
        </is>
      </c>
      <c r="C443" s="6" t="inlineStr">
        <is>
          <t>光明街公共停车场建设工程（四期）</t>
        </is>
      </c>
      <c r="D443" s="4" t="inlineStr">
        <is>
          <t>罗芳</t>
        </is>
      </c>
      <c r="E443" s="7" t="n">
        <v>793</v>
      </c>
      <c r="F443" s="7" t="n">
        <v>840.58</v>
      </c>
      <c r="G443" s="7">
        <f>E443-F443</f>
        <v/>
      </c>
      <c r="H443" s="8">
        <f>IFERROR(F443/E443,0)</f>
        <v/>
      </c>
      <c r="I443" s="4">
        <f>IF(H443&gt;=1,"超预算",IF(H443&gt;=0.9,"预警","正常"))</f>
        <v/>
      </c>
      <c r="J443" s="4">
        <f>RANK(F443,$F$4:$F$1203,0)</f>
        <v/>
      </c>
      <c r="K443" s="4" t="inlineStr">
        <is>
          <t>待启动</t>
        </is>
      </c>
    </row>
    <row r="444">
      <c r="A444" s="4" t="n">
        <v>441</v>
      </c>
      <c r="B444" s="5" t="inlineStr">
        <is>
          <t>PJ-2026-0441</t>
        </is>
      </c>
      <c r="C444" s="6" t="inlineStr">
        <is>
          <t>城东路道路改造工程</t>
        </is>
      </c>
      <c r="D444" s="4" t="inlineStr">
        <is>
          <t>张军</t>
        </is>
      </c>
      <c r="E444" s="7" t="n">
        <v>930</v>
      </c>
      <c r="F444" s="7" t="n">
        <v>604.5</v>
      </c>
      <c r="G444" s="7">
        <f>E444-F444</f>
        <v/>
      </c>
      <c r="H444" s="8">
        <f>IFERROR(F444/E444,0)</f>
        <v/>
      </c>
      <c r="I444" s="4">
        <f>IF(H444&gt;=1,"超预算",IF(H444&gt;=0.9,"预警","正常"))</f>
        <v/>
      </c>
      <c r="J444" s="4">
        <f>RANK(F444,$F$4:$F$1203,0)</f>
        <v/>
      </c>
      <c r="K444" s="4" t="inlineStr">
        <is>
          <t>完工</t>
        </is>
      </c>
    </row>
    <row r="445">
      <c r="A445" s="4" t="n">
        <v>442</v>
      </c>
      <c r="B445" s="5" t="inlineStr">
        <is>
          <t>PJ-2026-0442</t>
        </is>
      </c>
      <c r="C445" s="6" t="inlineStr">
        <is>
          <t>解放路老旧小区改造项目（二期）</t>
        </is>
      </c>
      <c r="D445" s="4" t="inlineStr">
        <is>
          <t>王明</t>
        </is>
      </c>
      <c r="E445" s="7" t="n">
        <v>1067</v>
      </c>
      <c r="F445" s="7" t="n">
        <v>1002.98</v>
      </c>
      <c r="G445" s="7">
        <f>E445-F445</f>
        <v/>
      </c>
      <c r="H445" s="8">
        <f>IFERROR(F445/E445,0)</f>
        <v/>
      </c>
      <c r="I445" s="4">
        <f>IF(H445&gt;=1,"超预算",IF(H445&gt;=0.9,"预警","正常"))</f>
        <v/>
      </c>
      <c r="J445" s="4">
        <f>RANK(F445,$F$4:$F$1203,0)</f>
        <v/>
      </c>
      <c r="K445" s="4" t="inlineStr">
        <is>
          <t>在建</t>
        </is>
      </c>
    </row>
    <row r="446">
      <c r="A446" s="4" t="n">
        <v>443</v>
      </c>
      <c r="B446" s="5" t="inlineStr">
        <is>
          <t>PJ-2026-0443</t>
        </is>
      </c>
      <c r="C446" s="6" t="inlineStr">
        <is>
          <t>和平街智慧园区建设项目（三期）</t>
        </is>
      </c>
      <c r="D446" s="4" t="inlineStr">
        <is>
          <t>李桂</t>
        </is>
      </c>
      <c r="E446" s="7" t="n">
        <v>1204</v>
      </c>
      <c r="F446" s="7" t="n">
        <v>638.12</v>
      </c>
      <c r="G446" s="7">
        <f>E446-F446</f>
        <v/>
      </c>
      <c r="H446" s="8">
        <f>IFERROR(F446/E446,0)</f>
        <v/>
      </c>
      <c r="I446" s="4">
        <f>IF(H446&gt;=1,"超预算",IF(H446&gt;=0.9,"预警","正常"))</f>
        <v/>
      </c>
      <c r="J446" s="4">
        <f>RANK(F446,$F$4:$F$1203,0)</f>
        <v/>
      </c>
      <c r="K446" s="4" t="inlineStr">
        <is>
          <t>待启动</t>
        </is>
      </c>
    </row>
    <row r="447">
      <c r="A447" s="4" t="n">
        <v>444</v>
      </c>
      <c r="B447" s="5" t="inlineStr">
        <is>
          <t>PJ-2026-0444</t>
        </is>
      </c>
      <c r="C447" s="6" t="inlineStr">
        <is>
          <t>光明街污水处理扩容工程（四期）</t>
        </is>
      </c>
      <c r="D447" s="4" t="inlineStr">
        <is>
          <t>赵丽</t>
        </is>
      </c>
      <c r="E447" s="7" t="n">
        <v>1341</v>
      </c>
      <c r="F447" s="7" t="n">
        <v>1099.62</v>
      </c>
      <c r="G447" s="7">
        <f>E447-F447</f>
        <v/>
      </c>
      <c r="H447" s="8">
        <f>IFERROR(F447/E447,0)</f>
        <v/>
      </c>
      <c r="I447" s="4">
        <f>IF(H447&gt;=1,"超预算",IF(H447&gt;=0.9,"预警","正常"))</f>
        <v/>
      </c>
      <c r="J447" s="4">
        <f>RANK(F447,$F$4:$F$1203,0)</f>
        <v/>
      </c>
      <c r="K447" s="4" t="inlineStr">
        <is>
          <t>完工</t>
        </is>
      </c>
    </row>
    <row r="448">
      <c r="A448" s="4" t="n">
        <v>445</v>
      </c>
      <c r="B448" s="5" t="inlineStr">
        <is>
          <t>PJ-2026-0445</t>
        </is>
      </c>
      <c r="C448" s="6" t="inlineStr">
        <is>
          <t>城东路供水管网更新工程</t>
        </is>
      </c>
      <c r="D448" s="4" t="inlineStr">
        <is>
          <t>刘杰</t>
        </is>
      </c>
      <c r="E448" s="7" t="n">
        <v>1478</v>
      </c>
      <c r="F448" s="7" t="n">
        <v>1640.58</v>
      </c>
      <c r="G448" s="7">
        <f>E448-F448</f>
        <v/>
      </c>
      <c r="H448" s="8">
        <f>IFERROR(F448/E448,0)</f>
        <v/>
      </c>
      <c r="I448" s="4">
        <f>IF(H448&gt;=1,"超预算",IF(H448&gt;=0.9,"预警","正常"))</f>
        <v/>
      </c>
      <c r="J448" s="4">
        <f>RANK(F448,$F$4:$F$1203,0)</f>
        <v/>
      </c>
      <c r="K448" s="4" t="inlineStr">
        <is>
          <t>在建</t>
        </is>
      </c>
    </row>
    <row r="449">
      <c r="A449" s="4" t="n">
        <v>446</v>
      </c>
      <c r="B449" s="5" t="inlineStr">
        <is>
          <t>PJ-2026-0446</t>
        </is>
      </c>
      <c r="C449" s="6" t="inlineStr">
        <is>
          <t>解放路河道综合整治工程（二期）</t>
        </is>
      </c>
      <c r="D449" s="4" t="inlineStr">
        <is>
          <t>陈霞</t>
        </is>
      </c>
      <c r="E449" s="7" t="n">
        <v>1615</v>
      </c>
      <c r="F449" s="7" t="n">
        <v>1130.5</v>
      </c>
      <c r="G449" s="7">
        <f>E449-F449</f>
        <v/>
      </c>
      <c r="H449" s="8">
        <f>IFERROR(F449/E449,0)</f>
        <v/>
      </c>
      <c r="I449" s="4">
        <f>IF(H449&gt;=1,"超预算",IF(H449&gt;=0.9,"预警","正常"))</f>
        <v/>
      </c>
      <c r="J449" s="4">
        <f>RANK(F449,$F$4:$F$1203,0)</f>
        <v/>
      </c>
      <c r="K449" s="4" t="inlineStr">
        <is>
          <t>待启动</t>
        </is>
      </c>
    </row>
    <row r="450">
      <c r="A450" s="4" t="n">
        <v>447</v>
      </c>
      <c r="B450" s="5" t="inlineStr">
        <is>
          <t>PJ-2026-0447</t>
        </is>
      </c>
      <c r="C450" s="6" t="inlineStr">
        <is>
          <t>和平街学校新建工程（三期）</t>
        </is>
      </c>
      <c r="D450" s="4" t="inlineStr">
        <is>
          <t>杨娜</t>
        </is>
      </c>
      <c r="E450" s="7" t="n">
        <v>1752</v>
      </c>
      <c r="F450" s="7" t="n">
        <v>1734.48</v>
      </c>
      <c r="G450" s="7">
        <f>E450-F450</f>
        <v/>
      </c>
      <c r="H450" s="8">
        <f>IFERROR(F450/E450,0)</f>
        <v/>
      </c>
      <c r="I450" s="4">
        <f>IF(H450&gt;=1,"超预算",IF(H450&gt;=0.9,"预警","正常"))</f>
        <v/>
      </c>
      <c r="J450" s="4">
        <f>RANK(F450,$F$4:$F$1203,0)</f>
        <v/>
      </c>
      <c r="K450" s="4" t="inlineStr">
        <is>
          <t>完工</t>
        </is>
      </c>
    </row>
    <row r="451">
      <c r="A451" s="4" t="n">
        <v>448</v>
      </c>
      <c r="B451" s="5" t="inlineStr">
        <is>
          <t>PJ-2026-0448</t>
        </is>
      </c>
      <c r="C451" s="6" t="inlineStr">
        <is>
          <t>光明街医院改扩建项目（四期）</t>
        </is>
      </c>
      <c r="D451" s="4" t="inlineStr">
        <is>
          <t>黄洋</t>
        </is>
      </c>
      <c r="E451" s="7" t="n">
        <v>1889</v>
      </c>
      <c r="F451" s="7" t="n">
        <v>1095.62</v>
      </c>
      <c r="G451" s="7">
        <f>E451-F451</f>
        <v/>
      </c>
      <c r="H451" s="8">
        <f>IFERROR(F451/E451,0)</f>
        <v/>
      </c>
      <c r="I451" s="4">
        <f>IF(H451&gt;=1,"超预算",IF(H451&gt;=0.9,"预警","正常"))</f>
        <v/>
      </c>
      <c r="J451" s="4">
        <f>RANK(F451,$F$4:$F$1203,0)</f>
        <v/>
      </c>
      <c r="K451" s="4" t="inlineStr">
        <is>
          <t>在建</t>
        </is>
      </c>
    </row>
    <row r="452">
      <c r="A452" s="4" t="n">
        <v>449</v>
      </c>
      <c r="B452" s="5" t="inlineStr">
        <is>
          <t>PJ-2026-0449</t>
        </is>
      </c>
      <c r="C452" s="6" t="inlineStr">
        <is>
          <t>城东路公交枢纽建设工程</t>
        </is>
      </c>
      <c r="D452" s="4" t="inlineStr">
        <is>
          <t>周超</t>
        </is>
      </c>
      <c r="E452" s="7" t="n">
        <v>2026</v>
      </c>
      <c r="F452" s="7" t="n">
        <v>1762.62</v>
      </c>
      <c r="G452" s="7">
        <f>E452-F452</f>
        <v/>
      </c>
      <c r="H452" s="8">
        <f>IFERROR(F452/E452,0)</f>
        <v/>
      </c>
      <c r="I452" s="4">
        <f>IF(H452&gt;=1,"超预算",IF(H452&gt;=0.9,"预警","正常"))</f>
        <v/>
      </c>
      <c r="J452" s="4">
        <f>RANK(F452,$F$4:$F$1203,0)</f>
        <v/>
      </c>
      <c r="K452" s="4" t="inlineStr">
        <is>
          <t>待启动</t>
        </is>
      </c>
    </row>
    <row r="453">
      <c r="A453" s="4" t="n">
        <v>450</v>
      </c>
      <c r="B453" s="5" t="inlineStr">
        <is>
          <t>PJ-2026-0450</t>
        </is>
      </c>
      <c r="C453" s="6" t="inlineStr">
        <is>
          <t>解放路公共停车场建设工程（二期）</t>
        </is>
      </c>
      <c r="D453" s="4" t="inlineStr">
        <is>
          <t>吴英</t>
        </is>
      </c>
      <c r="E453" s="7" t="n">
        <v>2163</v>
      </c>
      <c r="F453" s="7" t="n">
        <v>994.98</v>
      </c>
      <c r="G453" s="7">
        <f>E453-F453</f>
        <v/>
      </c>
      <c r="H453" s="8">
        <f>IFERROR(F453/E453,0)</f>
        <v/>
      </c>
      <c r="I453" s="4">
        <f>IF(H453&gt;=1,"超预算",IF(H453&gt;=0.9,"预警","正常"))</f>
        <v/>
      </c>
      <c r="J453" s="4">
        <f>RANK(F453,$F$4:$F$1203,0)</f>
        <v/>
      </c>
      <c r="K453" s="4" t="inlineStr">
        <is>
          <t>完工</t>
        </is>
      </c>
    </row>
    <row r="454">
      <c r="A454" s="4" t="n">
        <v>451</v>
      </c>
      <c r="B454" s="5" t="inlineStr">
        <is>
          <t>PJ-2026-0451</t>
        </is>
      </c>
      <c r="C454" s="6" t="inlineStr">
        <is>
          <t>和平街道路改造工程（三期）</t>
        </is>
      </c>
      <c r="D454" s="4" t="inlineStr">
        <is>
          <t>徐强</t>
        </is>
      </c>
      <c r="E454" s="7" t="n">
        <v>2300</v>
      </c>
      <c r="F454" s="7" t="n">
        <v>1725</v>
      </c>
      <c r="G454" s="7">
        <f>E454-F454</f>
        <v/>
      </c>
      <c r="H454" s="8">
        <f>IFERROR(F454/E454,0)</f>
        <v/>
      </c>
      <c r="I454" s="4">
        <f>IF(H454&gt;=1,"超预算",IF(H454&gt;=0.9,"预警","正常"))</f>
        <v/>
      </c>
      <c r="J454" s="4">
        <f>RANK(F454,$F$4:$F$1203,0)</f>
        <v/>
      </c>
      <c r="K454" s="4" t="inlineStr">
        <is>
          <t>在建</t>
        </is>
      </c>
    </row>
    <row r="455">
      <c r="A455" s="4" t="n">
        <v>452</v>
      </c>
      <c r="B455" s="5" t="inlineStr">
        <is>
          <t>PJ-2026-0452</t>
        </is>
      </c>
      <c r="C455" s="6" t="inlineStr">
        <is>
          <t>光明街老旧小区改造项目（四期）</t>
        </is>
      </c>
      <c r="D455" s="4" t="inlineStr">
        <is>
          <t>孙娟</t>
        </is>
      </c>
      <c r="E455" s="7" t="n">
        <v>2437</v>
      </c>
      <c r="F455" s="7" t="n">
        <v>2534.48</v>
      </c>
      <c r="G455" s="7">
        <f>E455-F455</f>
        <v/>
      </c>
      <c r="H455" s="8">
        <f>IFERROR(F455/E455,0)</f>
        <v/>
      </c>
      <c r="I455" s="4">
        <f>IF(H455&gt;=1,"超预算",IF(H455&gt;=0.9,"预警","正常"))</f>
        <v/>
      </c>
      <c r="J455" s="4">
        <f>RANK(F455,$F$4:$F$1203,0)</f>
        <v/>
      </c>
      <c r="K455" s="4" t="inlineStr">
        <is>
          <t>待启动</t>
        </is>
      </c>
    </row>
    <row r="456">
      <c r="A456" s="4" t="n">
        <v>453</v>
      </c>
      <c r="B456" s="5" t="inlineStr">
        <is>
          <t>PJ-2026-0453</t>
        </is>
      </c>
      <c r="C456" s="6" t="inlineStr">
        <is>
          <t>城东路智慧园区建设项目</t>
        </is>
      </c>
      <c r="D456" s="4" t="inlineStr">
        <is>
          <t>马平</t>
        </is>
      </c>
      <c r="E456" s="7" t="n">
        <v>2574</v>
      </c>
      <c r="F456" s="7" t="n">
        <v>1621.62</v>
      </c>
      <c r="G456" s="7">
        <f>E456-F456</f>
        <v/>
      </c>
      <c r="H456" s="8">
        <f>IFERROR(F456/E456,0)</f>
        <v/>
      </c>
      <c r="I456" s="4">
        <f>IF(H456&gt;=1,"超预算",IF(H456&gt;=0.9,"预警","正常"))</f>
        <v/>
      </c>
      <c r="J456" s="4">
        <f>RANK(F456,$F$4:$F$1203,0)</f>
        <v/>
      </c>
      <c r="K456" s="4" t="inlineStr">
        <is>
          <t>完工</t>
        </is>
      </c>
    </row>
    <row r="457">
      <c r="A457" s="4" t="n">
        <v>454</v>
      </c>
      <c r="B457" s="5" t="inlineStr">
        <is>
          <t>PJ-2026-0454</t>
        </is>
      </c>
      <c r="C457" s="6" t="inlineStr">
        <is>
          <t>解放路污水处理扩容工程（二期）</t>
        </is>
      </c>
      <c r="D457" s="4" t="inlineStr">
        <is>
          <t>朱敏</t>
        </is>
      </c>
      <c r="E457" s="7" t="n">
        <v>2711</v>
      </c>
      <c r="F457" s="7" t="n">
        <v>2494.12</v>
      </c>
      <c r="G457" s="7">
        <f>E457-F457</f>
        <v/>
      </c>
      <c r="H457" s="8">
        <f>IFERROR(F457/E457,0)</f>
        <v/>
      </c>
      <c r="I457" s="4">
        <f>IF(H457&gt;=1,"超预算",IF(H457&gt;=0.9,"预警","正常"))</f>
        <v/>
      </c>
      <c r="J457" s="4">
        <f>RANK(F457,$F$4:$F$1203,0)</f>
        <v/>
      </c>
      <c r="K457" s="4" t="inlineStr">
        <is>
          <t>在建</t>
        </is>
      </c>
    </row>
    <row r="458">
      <c r="A458" s="4" t="n">
        <v>455</v>
      </c>
      <c r="B458" s="5" t="inlineStr">
        <is>
          <t>PJ-2026-0455</t>
        </is>
      </c>
      <c r="C458" s="6" t="inlineStr">
        <is>
          <t>和平街供水管网更新工程（三期）</t>
        </is>
      </c>
      <c r="D458" s="4" t="inlineStr">
        <is>
          <t>胡勇</t>
        </is>
      </c>
      <c r="E458" s="7" t="n">
        <v>2848</v>
      </c>
      <c r="F458" s="7" t="n">
        <v>1452.48</v>
      </c>
      <c r="G458" s="7">
        <f>E458-F458</f>
        <v/>
      </c>
      <c r="H458" s="8">
        <f>IFERROR(F458/E458,0)</f>
        <v/>
      </c>
      <c r="I458" s="4">
        <f>IF(H458&gt;=1,"超预算",IF(H458&gt;=0.9,"预警","正常"))</f>
        <v/>
      </c>
      <c r="J458" s="4">
        <f>RANK(F458,$F$4:$F$1203,0)</f>
        <v/>
      </c>
      <c r="K458" s="4" t="inlineStr">
        <is>
          <t>待启动</t>
        </is>
      </c>
    </row>
    <row r="459">
      <c r="A459" s="4" t="n">
        <v>456</v>
      </c>
      <c r="B459" s="5" t="inlineStr">
        <is>
          <t>PJ-2026-0456</t>
        </is>
      </c>
      <c r="C459" s="6" t="inlineStr">
        <is>
          <t>光明街河道综合整治工程（四期）</t>
        </is>
      </c>
      <c r="D459" s="4" t="inlineStr">
        <is>
          <t>郭秀</t>
        </is>
      </c>
      <c r="E459" s="7" t="n">
        <v>2985</v>
      </c>
      <c r="F459" s="7" t="n">
        <v>2388</v>
      </c>
      <c r="G459" s="7">
        <f>E459-F459</f>
        <v/>
      </c>
      <c r="H459" s="8">
        <f>IFERROR(F459/E459,0)</f>
        <v/>
      </c>
      <c r="I459" s="4">
        <f>IF(H459&gt;=1,"超预算",IF(H459&gt;=0.9,"预警","正常"))</f>
        <v/>
      </c>
      <c r="J459" s="4">
        <f>RANK(F459,$F$4:$F$1203,0)</f>
        <v/>
      </c>
      <c r="K459" s="4" t="inlineStr">
        <is>
          <t>完工</t>
        </is>
      </c>
    </row>
    <row r="460">
      <c r="A460" s="4" t="n">
        <v>457</v>
      </c>
      <c r="B460" s="5" t="inlineStr">
        <is>
          <t>PJ-2026-0457</t>
        </is>
      </c>
      <c r="C460" s="6" t="inlineStr">
        <is>
          <t>城东路学校新建工程</t>
        </is>
      </c>
      <c r="D460" s="4" t="inlineStr">
        <is>
          <t>何伟</t>
        </is>
      </c>
      <c r="E460" s="7" t="n">
        <v>3122</v>
      </c>
      <c r="F460" s="7" t="n">
        <v>3402.98</v>
      </c>
      <c r="G460" s="7">
        <f>E460-F460</f>
        <v/>
      </c>
      <c r="H460" s="8">
        <f>IFERROR(F460/E460,0)</f>
        <v/>
      </c>
      <c r="I460" s="4">
        <f>IF(H460&gt;=1,"超预算",IF(H460&gt;=0.9,"预警","正常"))</f>
        <v/>
      </c>
      <c r="J460" s="4">
        <f>RANK(F460,$F$4:$F$1203,0)</f>
        <v/>
      </c>
      <c r="K460" s="4" t="inlineStr">
        <is>
          <t>在建</t>
        </is>
      </c>
    </row>
    <row r="461">
      <c r="A461" s="4" t="n">
        <v>458</v>
      </c>
      <c r="B461" s="5" t="inlineStr">
        <is>
          <t>PJ-2026-0458</t>
        </is>
      </c>
      <c r="C461" s="6" t="inlineStr">
        <is>
          <t>解放路医院改扩建项目（二期）</t>
        </is>
      </c>
      <c r="D461" s="4" t="inlineStr">
        <is>
          <t>高磊</t>
        </is>
      </c>
      <c r="E461" s="7" t="n">
        <v>3259</v>
      </c>
      <c r="F461" s="7" t="n">
        <v>2216.12</v>
      </c>
      <c r="G461" s="7">
        <f>E461-F461</f>
        <v/>
      </c>
      <c r="H461" s="8">
        <f>IFERROR(F461/E461,0)</f>
        <v/>
      </c>
      <c r="I461" s="4">
        <f>IF(H461&gt;=1,"超预算",IF(H461&gt;=0.9,"预警","正常"))</f>
        <v/>
      </c>
      <c r="J461" s="4">
        <f>RANK(F461,$F$4:$F$1203,0)</f>
        <v/>
      </c>
      <c r="K461" s="4" t="inlineStr">
        <is>
          <t>待启动</t>
        </is>
      </c>
    </row>
    <row r="462">
      <c r="A462" s="4" t="n">
        <v>459</v>
      </c>
      <c r="B462" s="5" t="inlineStr">
        <is>
          <t>PJ-2026-0459</t>
        </is>
      </c>
      <c r="C462" s="6" t="inlineStr">
        <is>
          <t>和平街公交枢纽建设工程（三期）</t>
        </is>
      </c>
      <c r="D462" s="4" t="inlineStr">
        <is>
          <t>林涛</t>
        </is>
      </c>
      <c r="E462" s="7" t="n">
        <v>3396</v>
      </c>
      <c r="F462" s="7" t="n">
        <v>3294.12</v>
      </c>
      <c r="G462" s="7">
        <f>E462-F462</f>
        <v/>
      </c>
      <c r="H462" s="8">
        <f>IFERROR(F462/E462,0)</f>
        <v/>
      </c>
      <c r="I462" s="4">
        <f>IF(H462&gt;=1,"超预算",IF(H462&gt;=0.9,"预警","正常"))</f>
        <v/>
      </c>
      <c r="J462" s="4">
        <f>RANK(F462,$F$4:$F$1203,0)</f>
        <v/>
      </c>
      <c r="K462" s="4" t="inlineStr">
        <is>
          <t>完工</t>
        </is>
      </c>
    </row>
    <row r="463">
      <c r="A463" s="4" t="n">
        <v>460</v>
      </c>
      <c r="B463" s="5" t="inlineStr">
        <is>
          <t>PJ-2026-0460</t>
        </is>
      </c>
      <c r="C463" s="6" t="inlineStr">
        <is>
          <t>光明街公共停车场建设工程（四期）</t>
        </is>
      </c>
      <c r="D463" s="4" t="inlineStr">
        <is>
          <t>罗刚</t>
        </is>
      </c>
      <c r="E463" s="7" t="n">
        <v>3533</v>
      </c>
      <c r="F463" s="7" t="n">
        <v>1978.48</v>
      </c>
      <c r="G463" s="7">
        <f>E463-F463</f>
        <v/>
      </c>
      <c r="H463" s="8">
        <f>IFERROR(F463/E463,0)</f>
        <v/>
      </c>
      <c r="I463" s="4">
        <f>IF(H463&gt;=1,"超预算",IF(H463&gt;=0.9,"预警","正常"))</f>
        <v/>
      </c>
      <c r="J463" s="4">
        <f>RANK(F463,$F$4:$F$1203,0)</f>
        <v/>
      </c>
      <c r="K463" s="4" t="inlineStr">
        <is>
          <t>在建</t>
        </is>
      </c>
    </row>
    <row r="464">
      <c r="A464" s="4" t="n">
        <v>461</v>
      </c>
      <c r="B464" s="5" t="inlineStr">
        <is>
          <t>PJ-2026-0461</t>
        </is>
      </c>
      <c r="C464" s="6" t="inlineStr">
        <is>
          <t>城东路道路改造工程</t>
        </is>
      </c>
      <c r="D464" s="4" t="inlineStr">
        <is>
          <t>张静</t>
        </is>
      </c>
      <c r="E464" s="7" t="n">
        <v>3670</v>
      </c>
      <c r="F464" s="7" t="n">
        <v>3119.5</v>
      </c>
      <c r="G464" s="7">
        <f>E464-F464</f>
        <v/>
      </c>
      <c r="H464" s="8">
        <f>IFERROR(F464/E464,0)</f>
        <v/>
      </c>
      <c r="I464" s="4">
        <f>IF(H464&gt;=1,"超预算",IF(H464&gt;=0.9,"预警","正常"))</f>
        <v/>
      </c>
      <c r="J464" s="4">
        <f>RANK(F464,$F$4:$F$1203,0)</f>
        <v/>
      </c>
      <c r="K464" s="4" t="inlineStr">
        <is>
          <t>待启动</t>
        </is>
      </c>
    </row>
    <row r="465">
      <c r="A465" s="4" t="n">
        <v>462</v>
      </c>
      <c r="B465" s="5" t="inlineStr">
        <is>
          <t>PJ-2026-0462</t>
        </is>
      </c>
      <c r="C465" s="6" t="inlineStr">
        <is>
          <t>解放路老旧小区改造项目（二期）</t>
        </is>
      </c>
      <c r="D465" s="4" t="inlineStr">
        <is>
          <t>王艳</t>
        </is>
      </c>
      <c r="E465" s="7" t="n">
        <v>3807</v>
      </c>
      <c r="F465" s="7" t="n">
        <v>4339.98</v>
      </c>
      <c r="G465" s="7">
        <f>E465-F465</f>
        <v/>
      </c>
      <c r="H465" s="8">
        <f>IFERROR(F465/E465,0)</f>
        <v/>
      </c>
      <c r="I465" s="4">
        <f>IF(H465&gt;=1,"超预算",IF(H465&gt;=0.9,"预警","正常"))</f>
        <v/>
      </c>
      <c r="J465" s="4">
        <f>RANK(F465,$F$4:$F$1203,0)</f>
        <v/>
      </c>
      <c r="K465" s="4" t="inlineStr">
        <is>
          <t>完工</t>
        </is>
      </c>
    </row>
    <row r="466">
      <c r="A466" s="4" t="n">
        <v>463</v>
      </c>
      <c r="B466" s="5" t="inlineStr">
        <is>
          <t>PJ-2026-0463</t>
        </is>
      </c>
      <c r="C466" s="6" t="inlineStr">
        <is>
          <t>和平街智慧园区建设项目（三期）</t>
        </is>
      </c>
      <c r="D466" s="4" t="inlineStr">
        <is>
          <t>李英</t>
        </is>
      </c>
      <c r="E466" s="7" t="n">
        <v>3944</v>
      </c>
      <c r="F466" s="7" t="n">
        <v>2879.12</v>
      </c>
      <c r="G466" s="7">
        <f>E466-F466</f>
        <v/>
      </c>
      <c r="H466" s="8">
        <f>IFERROR(F466/E466,0)</f>
        <v/>
      </c>
      <c r="I466" s="4">
        <f>IF(H466&gt;=1,"超预算",IF(H466&gt;=0.9,"预警","正常"))</f>
        <v/>
      </c>
      <c r="J466" s="4">
        <f>RANK(F466,$F$4:$F$1203,0)</f>
        <v/>
      </c>
      <c r="K466" s="4" t="inlineStr">
        <is>
          <t>在建</t>
        </is>
      </c>
    </row>
    <row r="467">
      <c r="A467" s="4" t="n">
        <v>464</v>
      </c>
      <c r="B467" s="5" t="inlineStr">
        <is>
          <t>PJ-2026-0464</t>
        </is>
      </c>
      <c r="C467" s="6" t="inlineStr">
        <is>
          <t>光明街污水处理扩容工程（四期）</t>
        </is>
      </c>
      <c r="D467" s="4" t="inlineStr">
        <is>
          <t>赵芳</t>
        </is>
      </c>
      <c r="E467" s="7" t="n">
        <v>4081</v>
      </c>
      <c r="F467" s="7" t="n">
        <v>4162.62</v>
      </c>
      <c r="G467" s="7">
        <f>E467-F467</f>
        <v/>
      </c>
      <c r="H467" s="8">
        <f>IFERROR(F467/E467,0)</f>
        <v/>
      </c>
      <c r="I467" s="4">
        <f>IF(H467&gt;=1,"超预算",IF(H467&gt;=0.9,"预警","正常"))</f>
        <v/>
      </c>
      <c r="J467" s="4">
        <f>RANK(F467,$F$4:$F$1203,0)</f>
        <v/>
      </c>
      <c r="K467" s="4" t="inlineStr">
        <is>
          <t>待启动</t>
        </is>
      </c>
    </row>
    <row r="468">
      <c r="A468" s="4" t="n">
        <v>465</v>
      </c>
      <c r="B468" s="5" t="inlineStr">
        <is>
          <t>PJ-2026-0465</t>
        </is>
      </c>
      <c r="C468" s="6" t="inlineStr">
        <is>
          <t>城东路供水管网更新工程</t>
        </is>
      </c>
      <c r="D468" s="4" t="inlineStr">
        <is>
          <t>刘军</t>
        </is>
      </c>
      <c r="E468" s="7" t="n">
        <v>4218</v>
      </c>
      <c r="F468" s="7" t="n">
        <v>2572.98</v>
      </c>
      <c r="G468" s="7">
        <f>E468-F468</f>
        <v/>
      </c>
      <c r="H468" s="8">
        <f>IFERROR(F468/E468,0)</f>
        <v/>
      </c>
      <c r="I468" s="4">
        <f>IF(H468&gt;=1,"超预算",IF(H468&gt;=0.9,"预警","正常"))</f>
        <v/>
      </c>
      <c r="J468" s="4">
        <f>RANK(F468,$F$4:$F$1203,0)</f>
        <v/>
      </c>
      <c r="K468" s="4" t="inlineStr">
        <is>
          <t>完工</t>
        </is>
      </c>
    </row>
    <row r="469">
      <c r="A469" s="4" t="n">
        <v>466</v>
      </c>
      <c r="B469" s="5" t="inlineStr">
        <is>
          <t>PJ-2026-0466</t>
        </is>
      </c>
      <c r="C469" s="6" t="inlineStr">
        <is>
          <t>解放路河道综合整治工程（二期）</t>
        </is>
      </c>
      <c r="D469" s="4" t="inlineStr">
        <is>
          <t>陈明</t>
        </is>
      </c>
      <c r="E469" s="7" t="n">
        <v>4355</v>
      </c>
      <c r="F469" s="7" t="n">
        <v>3919.5</v>
      </c>
      <c r="G469" s="7">
        <f>E469-F469</f>
        <v/>
      </c>
      <c r="H469" s="8">
        <f>IFERROR(F469/E469,0)</f>
        <v/>
      </c>
      <c r="I469" s="4">
        <f>IF(H469&gt;=1,"超预算",IF(H469&gt;=0.9,"预警","正常"))</f>
        <v/>
      </c>
      <c r="J469" s="4">
        <f>RANK(F469,$F$4:$F$1203,0)</f>
        <v/>
      </c>
      <c r="K469" s="4" t="inlineStr">
        <is>
          <t>在建</t>
        </is>
      </c>
    </row>
    <row r="470">
      <c r="A470" s="4" t="n">
        <v>467</v>
      </c>
      <c r="B470" s="5" t="inlineStr">
        <is>
          <t>PJ-2026-0467</t>
        </is>
      </c>
      <c r="C470" s="6" t="inlineStr">
        <is>
          <t>和平街学校新建工程（三期）</t>
        </is>
      </c>
      <c r="D470" s="4" t="inlineStr">
        <is>
          <t>杨桂</t>
        </is>
      </c>
      <c r="E470" s="7" t="n">
        <v>4492</v>
      </c>
      <c r="F470" s="7" t="n">
        <v>2201.08</v>
      </c>
      <c r="G470" s="7">
        <f>E470-F470</f>
        <v/>
      </c>
      <c r="H470" s="8">
        <f>IFERROR(F470/E470,0)</f>
        <v/>
      </c>
      <c r="I470" s="4">
        <f>IF(H470&gt;=1,"超预算",IF(H470&gt;=0.9,"预警","正常"))</f>
        <v/>
      </c>
      <c r="J470" s="4">
        <f>RANK(F470,$F$4:$F$1203,0)</f>
        <v/>
      </c>
      <c r="K470" s="4" t="inlineStr">
        <is>
          <t>待启动</t>
        </is>
      </c>
    </row>
    <row r="471">
      <c r="A471" s="4" t="n">
        <v>468</v>
      </c>
      <c r="B471" s="5" t="inlineStr">
        <is>
          <t>PJ-2026-0468</t>
        </is>
      </c>
      <c r="C471" s="6" t="inlineStr">
        <is>
          <t>光明街医院改扩建项目（四期）</t>
        </is>
      </c>
      <c r="D471" s="4" t="inlineStr">
        <is>
          <t>黄丽</t>
        </is>
      </c>
      <c r="E471" s="7" t="n">
        <v>4629</v>
      </c>
      <c r="F471" s="7" t="n">
        <v>3610.62</v>
      </c>
      <c r="G471" s="7">
        <f>E471-F471</f>
        <v/>
      </c>
      <c r="H471" s="8">
        <f>IFERROR(F471/E471,0)</f>
        <v/>
      </c>
      <c r="I471" s="4">
        <f>IF(H471&gt;=1,"超预算",IF(H471&gt;=0.9,"预警","正常"))</f>
        <v/>
      </c>
      <c r="J471" s="4">
        <f>RANK(F471,$F$4:$F$1203,0)</f>
        <v/>
      </c>
      <c r="K471" s="4" t="inlineStr">
        <is>
          <t>完工</t>
        </is>
      </c>
    </row>
    <row r="472">
      <c r="A472" s="4" t="n">
        <v>469</v>
      </c>
      <c r="B472" s="5" t="inlineStr">
        <is>
          <t>PJ-2026-0469</t>
        </is>
      </c>
      <c r="C472" s="6" t="inlineStr">
        <is>
          <t>城东路公交枢纽建设工程</t>
        </is>
      </c>
      <c r="D472" s="4" t="inlineStr">
        <is>
          <t>周杰</t>
        </is>
      </c>
      <c r="E472" s="7" t="n">
        <v>4766</v>
      </c>
      <c r="F472" s="7" t="n">
        <v>5099.62</v>
      </c>
      <c r="G472" s="7">
        <f>E472-F472</f>
        <v/>
      </c>
      <c r="H472" s="8">
        <f>IFERROR(F472/E472,0)</f>
        <v/>
      </c>
      <c r="I472" s="4">
        <f>IF(H472&gt;=1,"超预算",IF(H472&gt;=0.9,"预警","正常"))</f>
        <v/>
      </c>
      <c r="J472" s="4">
        <f>RANK(F472,$F$4:$F$1203,0)</f>
        <v/>
      </c>
      <c r="K472" s="4" t="inlineStr">
        <is>
          <t>在建</t>
        </is>
      </c>
    </row>
    <row r="473">
      <c r="A473" s="4" t="n">
        <v>470</v>
      </c>
      <c r="B473" s="5" t="inlineStr">
        <is>
          <t>PJ-2026-0470</t>
        </is>
      </c>
      <c r="C473" s="6" t="inlineStr">
        <is>
          <t>解放路公共停车场建设工程（二期）</t>
        </is>
      </c>
      <c r="D473" s="4" t="inlineStr">
        <is>
          <t>吴霞</t>
        </is>
      </c>
      <c r="E473" s="7" t="n">
        <v>4903</v>
      </c>
      <c r="F473" s="7" t="n">
        <v>3235.98</v>
      </c>
      <c r="G473" s="7">
        <f>E473-F473</f>
        <v/>
      </c>
      <c r="H473" s="8">
        <f>IFERROR(F473/E473,0)</f>
        <v/>
      </c>
      <c r="I473" s="4">
        <f>IF(H473&gt;=1,"超预算",IF(H473&gt;=0.9,"预警","正常"))</f>
        <v/>
      </c>
      <c r="J473" s="4">
        <f>RANK(F473,$F$4:$F$1203,0)</f>
        <v/>
      </c>
      <c r="K473" s="4" t="inlineStr">
        <is>
          <t>待启动</t>
        </is>
      </c>
    </row>
    <row r="474">
      <c r="A474" s="4" t="n">
        <v>471</v>
      </c>
      <c r="B474" s="5" t="inlineStr">
        <is>
          <t>PJ-2026-0471</t>
        </is>
      </c>
      <c r="C474" s="6" t="inlineStr">
        <is>
          <t>和平街道路改造工程（三期）</t>
        </is>
      </c>
      <c r="D474" s="4" t="inlineStr">
        <is>
          <t>徐娜</t>
        </is>
      </c>
      <c r="E474" s="7" t="n">
        <v>90</v>
      </c>
      <c r="F474" s="7" t="n">
        <v>85.5</v>
      </c>
      <c r="G474" s="7">
        <f>E474-F474</f>
        <v/>
      </c>
      <c r="H474" s="8">
        <f>IFERROR(F474/E474,0)</f>
        <v/>
      </c>
      <c r="I474" s="4">
        <f>IF(H474&gt;=1,"超预算",IF(H474&gt;=0.9,"预警","正常"))</f>
        <v/>
      </c>
      <c r="J474" s="4">
        <f>RANK(F474,$F$4:$F$1203,0)</f>
        <v/>
      </c>
      <c r="K474" s="4" t="inlineStr">
        <is>
          <t>完工</t>
        </is>
      </c>
    </row>
    <row r="475">
      <c r="A475" s="4" t="n">
        <v>472</v>
      </c>
      <c r="B475" s="5" t="inlineStr">
        <is>
          <t>PJ-2026-0472</t>
        </is>
      </c>
      <c r="C475" s="6" t="inlineStr">
        <is>
          <t>光明街老旧小区改造项目（四期）</t>
        </is>
      </c>
      <c r="D475" s="4" t="inlineStr">
        <is>
          <t>孙洋</t>
        </is>
      </c>
      <c r="E475" s="7" t="n">
        <v>227</v>
      </c>
      <c r="F475" s="7" t="n">
        <v>122.58</v>
      </c>
      <c r="G475" s="7">
        <f>E475-F475</f>
        <v/>
      </c>
      <c r="H475" s="8">
        <f>IFERROR(F475/E475,0)</f>
        <v/>
      </c>
      <c r="I475" s="4">
        <f>IF(H475&gt;=1,"超预算",IF(H475&gt;=0.9,"预警","正常"))</f>
        <v/>
      </c>
      <c r="J475" s="4">
        <f>RANK(F475,$F$4:$F$1203,0)</f>
        <v/>
      </c>
      <c r="K475" s="4" t="inlineStr">
        <is>
          <t>在建</t>
        </is>
      </c>
    </row>
    <row r="476">
      <c r="A476" s="4" t="n">
        <v>473</v>
      </c>
      <c r="B476" s="5" t="inlineStr">
        <is>
          <t>PJ-2026-0473</t>
        </is>
      </c>
      <c r="C476" s="6" t="inlineStr">
        <is>
          <t>城东路智慧园区建设项目</t>
        </is>
      </c>
      <c r="D476" s="4" t="inlineStr">
        <is>
          <t>马超</t>
        </is>
      </c>
      <c r="E476" s="7" t="n">
        <v>364</v>
      </c>
      <c r="F476" s="7" t="n">
        <v>302.12</v>
      </c>
      <c r="G476" s="7">
        <f>E476-F476</f>
        <v/>
      </c>
      <c r="H476" s="8">
        <f>IFERROR(F476/E476,0)</f>
        <v/>
      </c>
      <c r="I476" s="4">
        <f>IF(H476&gt;=1,"超预算",IF(H476&gt;=0.9,"预警","正常"))</f>
        <v/>
      </c>
      <c r="J476" s="4">
        <f>RANK(F476,$F$4:$F$1203,0)</f>
        <v/>
      </c>
      <c r="K476" s="4" t="inlineStr">
        <is>
          <t>待启动</t>
        </is>
      </c>
    </row>
    <row r="477">
      <c r="A477" s="4" t="n">
        <v>474</v>
      </c>
      <c r="B477" s="5" t="inlineStr">
        <is>
          <t>PJ-2026-0474</t>
        </is>
      </c>
      <c r="C477" s="6" t="inlineStr">
        <is>
          <t>解放路污水处理扩容工程（二期）</t>
        </is>
      </c>
      <c r="D477" s="4" t="inlineStr">
        <is>
          <t>朱英</t>
        </is>
      </c>
      <c r="E477" s="7" t="n">
        <v>501</v>
      </c>
      <c r="F477" s="7" t="n">
        <v>561.12</v>
      </c>
      <c r="G477" s="7">
        <f>E477-F477</f>
        <v/>
      </c>
      <c r="H477" s="8">
        <f>IFERROR(F477/E477,0)</f>
        <v/>
      </c>
      <c r="I477" s="4">
        <f>IF(H477&gt;=1,"超预算",IF(H477&gt;=0.9,"预警","正常"))</f>
        <v/>
      </c>
      <c r="J477" s="4">
        <f>RANK(F477,$F$4:$F$1203,0)</f>
        <v/>
      </c>
      <c r="K477" s="4" t="inlineStr">
        <is>
          <t>完工</t>
        </is>
      </c>
    </row>
    <row r="478">
      <c r="A478" s="4" t="n">
        <v>475</v>
      </c>
      <c r="B478" s="5" t="inlineStr">
        <is>
          <t>PJ-2026-0475</t>
        </is>
      </c>
      <c r="C478" s="6" t="inlineStr">
        <is>
          <t>和平街供水管网更新工程（三期）</t>
        </is>
      </c>
      <c r="D478" s="4" t="inlineStr">
        <is>
          <t>胡强</t>
        </is>
      </c>
      <c r="E478" s="7" t="n">
        <v>638</v>
      </c>
      <c r="F478" s="7" t="n">
        <v>452.98</v>
      </c>
      <c r="G478" s="7">
        <f>E478-F478</f>
        <v/>
      </c>
      <c r="H478" s="8">
        <f>IFERROR(F478/E478,0)</f>
        <v/>
      </c>
      <c r="I478" s="4">
        <f>IF(H478&gt;=1,"超预算",IF(H478&gt;=0.9,"预警","正常"))</f>
        <v/>
      </c>
      <c r="J478" s="4">
        <f>RANK(F478,$F$4:$F$1203,0)</f>
        <v/>
      </c>
      <c r="K478" s="4" t="inlineStr">
        <is>
          <t>在建</t>
        </is>
      </c>
    </row>
    <row r="479">
      <c r="A479" s="4" t="n">
        <v>476</v>
      </c>
      <c r="B479" s="5" t="inlineStr">
        <is>
          <t>PJ-2026-0476</t>
        </is>
      </c>
      <c r="C479" s="6" t="inlineStr">
        <is>
          <t>光明街河道综合整治工程（四期）</t>
        </is>
      </c>
      <c r="D479" s="4" t="inlineStr">
        <is>
          <t>郭娟</t>
        </is>
      </c>
      <c r="E479" s="7" t="n">
        <v>775</v>
      </c>
      <c r="F479" s="7" t="n">
        <v>775</v>
      </c>
      <c r="G479" s="7">
        <f>E479-F479</f>
        <v/>
      </c>
      <c r="H479" s="8">
        <f>IFERROR(F479/E479,0)</f>
        <v/>
      </c>
      <c r="I479" s="4">
        <f>IF(H479&gt;=1,"超预算",IF(H479&gt;=0.9,"预警","正常"))</f>
        <v/>
      </c>
      <c r="J479" s="4">
        <f>RANK(F479,$F$4:$F$1203,0)</f>
        <v/>
      </c>
      <c r="K479" s="4" t="inlineStr">
        <is>
          <t>待启动</t>
        </is>
      </c>
    </row>
    <row r="480">
      <c r="A480" s="4" t="n">
        <v>477</v>
      </c>
      <c r="B480" s="5" t="inlineStr">
        <is>
          <t>PJ-2026-0477</t>
        </is>
      </c>
      <c r="C480" s="6" t="inlineStr">
        <is>
          <t>城东路学校新建工程</t>
        </is>
      </c>
      <c r="D480" s="4" t="inlineStr">
        <is>
          <t>何平</t>
        </is>
      </c>
      <c r="E480" s="7" t="n">
        <v>912</v>
      </c>
      <c r="F480" s="7" t="n">
        <v>538.08</v>
      </c>
      <c r="G480" s="7">
        <f>E480-F480</f>
        <v/>
      </c>
      <c r="H480" s="8">
        <f>IFERROR(F480/E480,0)</f>
        <v/>
      </c>
      <c r="I480" s="4">
        <f>IF(H480&gt;=1,"超预算",IF(H480&gt;=0.9,"预警","正常"))</f>
        <v/>
      </c>
      <c r="J480" s="4">
        <f>RANK(F480,$F$4:$F$1203,0)</f>
        <v/>
      </c>
      <c r="K480" s="4" t="inlineStr">
        <is>
          <t>完工</t>
        </is>
      </c>
    </row>
    <row r="481">
      <c r="A481" s="4" t="n">
        <v>478</v>
      </c>
      <c r="B481" s="5" t="inlineStr">
        <is>
          <t>PJ-2026-0478</t>
        </is>
      </c>
      <c r="C481" s="6" t="inlineStr">
        <is>
          <t>解放路医院改扩建项目（二期）</t>
        </is>
      </c>
      <c r="D481" s="4" t="inlineStr">
        <is>
          <t>高敏</t>
        </is>
      </c>
      <c r="E481" s="7" t="n">
        <v>1049</v>
      </c>
      <c r="F481" s="7" t="n">
        <v>923.12</v>
      </c>
      <c r="G481" s="7">
        <f>E481-F481</f>
        <v/>
      </c>
      <c r="H481" s="8">
        <f>IFERROR(F481/E481,0)</f>
        <v/>
      </c>
      <c r="I481" s="4">
        <f>IF(H481&gt;=1,"超预算",IF(H481&gt;=0.9,"预警","正常"))</f>
        <v/>
      </c>
      <c r="J481" s="4">
        <f>RANK(F481,$F$4:$F$1203,0)</f>
        <v/>
      </c>
      <c r="K481" s="4" t="inlineStr">
        <is>
          <t>在建</t>
        </is>
      </c>
    </row>
    <row r="482">
      <c r="A482" s="4" t="n">
        <v>479</v>
      </c>
      <c r="B482" s="5" t="inlineStr">
        <is>
          <t>PJ-2026-0479</t>
        </is>
      </c>
      <c r="C482" s="6" t="inlineStr">
        <is>
          <t>和平街公交枢纽建设工程（三期）</t>
        </is>
      </c>
      <c r="D482" s="4" t="inlineStr">
        <is>
          <t>林勇</t>
        </is>
      </c>
      <c r="E482" s="7" t="n">
        <v>1186</v>
      </c>
      <c r="F482" s="7" t="n">
        <v>557.42</v>
      </c>
      <c r="G482" s="7">
        <f>E482-F482</f>
        <v/>
      </c>
      <c r="H482" s="8">
        <f>IFERROR(F482/E482,0)</f>
        <v/>
      </c>
      <c r="I482" s="4">
        <f>IF(H482&gt;=1,"超预算",IF(H482&gt;=0.9,"预警","正常"))</f>
        <v/>
      </c>
      <c r="J482" s="4">
        <f>RANK(F482,$F$4:$F$1203,0)</f>
        <v/>
      </c>
      <c r="K482" s="4" t="inlineStr">
        <is>
          <t>待启动</t>
        </is>
      </c>
    </row>
    <row r="483">
      <c r="A483" s="4" t="n">
        <v>480</v>
      </c>
      <c r="B483" s="5" t="inlineStr">
        <is>
          <t>PJ-2026-0480</t>
        </is>
      </c>
      <c r="C483" s="6" t="inlineStr">
        <is>
          <t>光明街公共停车场建设工程（四期）</t>
        </is>
      </c>
      <c r="D483" s="4" t="inlineStr">
        <is>
          <t>罗秀</t>
        </is>
      </c>
      <c r="E483" s="7" t="n">
        <v>1323</v>
      </c>
      <c r="F483" s="7" t="n">
        <v>1005.48</v>
      </c>
      <c r="G483" s="7">
        <f>E483-F483</f>
        <v/>
      </c>
      <c r="H483" s="8">
        <f>IFERROR(F483/E483,0)</f>
        <v/>
      </c>
      <c r="I483" s="4">
        <f>IF(H483&gt;=1,"超预算",IF(H483&gt;=0.9,"预警","正常"))</f>
        <v/>
      </c>
      <c r="J483" s="4">
        <f>RANK(F483,$F$4:$F$1203,0)</f>
        <v/>
      </c>
      <c r="K483" s="4" t="inlineStr">
        <is>
          <t>完工</t>
        </is>
      </c>
    </row>
    <row r="484">
      <c r="A484" s="4" t="n">
        <v>481</v>
      </c>
      <c r="B484" s="5" t="inlineStr">
        <is>
          <t>PJ-2026-0481</t>
        </is>
      </c>
      <c r="C484" s="6" t="inlineStr">
        <is>
          <t>城东路道路改造工程</t>
        </is>
      </c>
      <c r="D484" s="4" t="inlineStr">
        <is>
          <t>张伟</t>
        </is>
      </c>
      <c r="E484" s="7" t="n">
        <v>1460</v>
      </c>
      <c r="F484" s="7" t="n">
        <v>1533</v>
      </c>
      <c r="G484" s="7">
        <f>E484-F484</f>
        <v/>
      </c>
      <c r="H484" s="8">
        <f>IFERROR(F484/E484,0)</f>
        <v/>
      </c>
      <c r="I484" s="4">
        <f>IF(H484&gt;=1,"超预算",IF(H484&gt;=0.9,"预警","正常"))</f>
        <v/>
      </c>
      <c r="J484" s="4">
        <f>RANK(F484,$F$4:$F$1203,0)</f>
        <v/>
      </c>
      <c r="K484" s="4" t="inlineStr">
        <is>
          <t>在建</t>
        </is>
      </c>
    </row>
    <row r="485">
      <c r="A485" s="4" t="n">
        <v>482</v>
      </c>
      <c r="B485" s="5" t="inlineStr">
        <is>
          <t>PJ-2026-0482</t>
        </is>
      </c>
      <c r="C485" s="6" t="inlineStr">
        <is>
          <t>解放路老旧小区改造项目（二期）</t>
        </is>
      </c>
      <c r="D485" s="4" t="inlineStr">
        <is>
          <t>王磊</t>
        </is>
      </c>
      <c r="E485" s="7" t="n">
        <v>1597</v>
      </c>
      <c r="F485" s="7" t="n">
        <v>1022.08</v>
      </c>
      <c r="G485" s="7">
        <f>E485-F485</f>
        <v/>
      </c>
      <c r="H485" s="8">
        <f>IFERROR(F485/E485,0)</f>
        <v/>
      </c>
      <c r="I485" s="4">
        <f>IF(H485&gt;=1,"超预算",IF(H485&gt;=0.9,"预警","正常"))</f>
        <v/>
      </c>
      <c r="J485" s="4">
        <f>RANK(F485,$F$4:$F$1203,0)</f>
        <v/>
      </c>
      <c r="K485" s="4" t="inlineStr">
        <is>
          <t>待启动</t>
        </is>
      </c>
    </row>
    <row r="486">
      <c r="A486" s="4" t="n">
        <v>483</v>
      </c>
      <c r="B486" s="5" t="inlineStr">
        <is>
          <t>PJ-2026-0483</t>
        </is>
      </c>
      <c r="C486" s="6" t="inlineStr">
        <is>
          <t>和平街智慧园区建设项目（三期）</t>
        </is>
      </c>
      <c r="D486" s="4" t="inlineStr">
        <is>
          <t>李涛</t>
        </is>
      </c>
      <c r="E486" s="7" t="n">
        <v>1734</v>
      </c>
      <c r="F486" s="7" t="n">
        <v>1612.62</v>
      </c>
      <c r="G486" s="7">
        <f>E486-F486</f>
        <v/>
      </c>
      <c r="H486" s="8">
        <f>IFERROR(F486/E486,0)</f>
        <v/>
      </c>
      <c r="I486" s="4">
        <f>IF(H486&gt;=1,"超预算",IF(H486&gt;=0.9,"预警","正常"))</f>
        <v/>
      </c>
      <c r="J486" s="4">
        <f>RANK(F486,$F$4:$F$1203,0)</f>
        <v/>
      </c>
      <c r="K486" s="4" t="inlineStr">
        <is>
          <t>完工</t>
        </is>
      </c>
    </row>
    <row r="487">
      <c r="A487" s="4" t="n">
        <v>484</v>
      </c>
      <c r="B487" s="5" t="inlineStr">
        <is>
          <t>PJ-2026-0484</t>
        </is>
      </c>
      <c r="C487" s="6" t="inlineStr">
        <is>
          <t>光明街污水处理扩容工程（四期）</t>
        </is>
      </c>
      <c r="D487" s="4" t="inlineStr">
        <is>
          <t>赵刚</t>
        </is>
      </c>
      <c r="E487" s="7" t="n">
        <v>1871</v>
      </c>
      <c r="F487" s="7" t="n">
        <v>972.92</v>
      </c>
      <c r="G487" s="7">
        <f>E487-F487</f>
        <v/>
      </c>
      <c r="H487" s="8">
        <f>IFERROR(F487/E487,0)</f>
        <v/>
      </c>
      <c r="I487" s="4">
        <f>IF(H487&gt;=1,"超预算",IF(H487&gt;=0.9,"预警","正常"))</f>
        <v/>
      </c>
      <c r="J487" s="4">
        <f>RANK(F487,$F$4:$F$1203,0)</f>
        <v/>
      </c>
      <c r="K487" s="4" t="inlineStr">
        <is>
          <t>在建</t>
        </is>
      </c>
    </row>
    <row r="488">
      <c r="A488" s="4" t="n">
        <v>485</v>
      </c>
      <c r="B488" s="5" t="inlineStr">
        <is>
          <t>PJ-2026-0485</t>
        </is>
      </c>
      <c r="C488" s="6" t="inlineStr">
        <is>
          <t>城东路供水管网更新工程</t>
        </is>
      </c>
      <c r="D488" s="4" t="inlineStr">
        <is>
          <t>刘静</t>
        </is>
      </c>
      <c r="E488" s="7" t="n">
        <v>2008</v>
      </c>
      <c r="F488" s="7" t="n">
        <v>1626.48</v>
      </c>
      <c r="G488" s="7">
        <f>E488-F488</f>
        <v/>
      </c>
      <c r="H488" s="8">
        <f>IFERROR(F488/E488,0)</f>
        <v/>
      </c>
      <c r="I488" s="4">
        <f>IF(H488&gt;=1,"超预算",IF(H488&gt;=0.9,"预警","正常"))</f>
        <v/>
      </c>
      <c r="J488" s="4">
        <f>RANK(F488,$F$4:$F$1203,0)</f>
        <v/>
      </c>
      <c r="K488" s="4" t="inlineStr">
        <is>
          <t>待启动</t>
        </is>
      </c>
    </row>
    <row r="489">
      <c r="A489" s="4" t="n">
        <v>486</v>
      </c>
      <c r="B489" s="5" t="inlineStr">
        <is>
          <t>PJ-2026-0486</t>
        </is>
      </c>
      <c r="C489" s="6" t="inlineStr">
        <is>
          <t>解放路河道综合整治工程（二期）</t>
        </is>
      </c>
      <c r="D489" s="4" t="inlineStr">
        <is>
          <t>陈艳</t>
        </is>
      </c>
      <c r="E489" s="7" t="n">
        <v>2145</v>
      </c>
      <c r="F489" s="7" t="n">
        <v>2359.5</v>
      </c>
      <c r="G489" s="7">
        <f>E489-F489</f>
        <v/>
      </c>
      <c r="H489" s="8">
        <f>IFERROR(F489/E489,0)</f>
        <v/>
      </c>
      <c r="I489" s="4">
        <f>IF(H489&gt;=1,"超预算",IF(H489&gt;=0.9,"预警","正常"))</f>
        <v/>
      </c>
      <c r="J489" s="4">
        <f>RANK(F489,$F$4:$F$1203,0)</f>
        <v/>
      </c>
      <c r="K489" s="4" t="inlineStr">
        <is>
          <t>完工</t>
        </is>
      </c>
    </row>
    <row r="490">
      <c r="A490" s="4" t="n">
        <v>487</v>
      </c>
      <c r="B490" s="5" t="inlineStr">
        <is>
          <t>PJ-2026-0487</t>
        </is>
      </c>
      <c r="C490" s="6" t="inlineStr">
        <is>
          <t>和平街学校新建工程（三期）</t>
        </is>
      </c>
      <c r="D490" s="4" t="inlineStr">
        <is>
          <t>杨英</t>
        </is>
      </c>
      <c r="E490" s="7" t="n">
        <v>2282</v>
      </c>
      <c r="F490" s="7" t="n">
        <v>1574.58</v>
      </c>
      <c r="G490" s="7">
        <f>E490-F490</f>
        <v/>
      </c>
      <c r="H490" s="8">
        <f>IFERROR(F490/E490,0)</f>
        <v/>
      </c>
      <c r="I490" s="4">
        <f>IF(H490&gt;=1,"超预算",IF(H490&gt;=0.9,"预警","正常"))</f>
        <v/>
      </c>
      <c r="J490" s="4">
        <f>RANK(F490,$F$4:$F$1203,0)</f>
        <v/>
      </c>
      <c r="K490" s="4" t="inlineStr">
        <is>
          <t>在建</t>
        </is>
      </c>
    </row>
    <row r="491">
      <c r="A491" s="4" t="n">
        <v>488</v>
      </c>
      <c r="B491" s="5" t="inlineStr">
        <is>
          <t>PJ-2026-0488</t>
        </is>
      </c>
      <c r="C491" s="6" t="inlineStr">
        <is>
          <t>光明街医院改扩建项目（四期）</t>
        </is>
      </c>
      <c r="D491" s="4" t="inlineStr">
        <is>
          <t>黄芳</t>
        </is>
      </c>
      <c r="E491" s="7" t="n">
        <v>2419</v>
      </c>
      <c r="F491" s="7" t="n">
        <v>2370.62</v>
      </c>
      <c r="G491" s="7">
        <f>E491-F491</f>
        <v/>
      </c>
      <c r="H491" s="8">
        <f>IFERROR(F491/E491,0)</f>
        <v/>
      </c>
      <c r="I491" s="4">
        <f>IF(H491&gt;=1,"超预算",IF(H491&gt;=0.9,"预警","正常"))</f>
        <v/>
      </c>
      <c r="J491" s="4">
        <f>RANK(F491,$F$4:$F$1203,0)</f>
        <v/>
      </c>
      <c r="K491" s="4" t="inlineStr">
        <is>
          <t>待启动</t>
        </is>
      </c>
    </row>
    <row r="492">
      <c r="A492" s="4" t="n">
        <v>489</v>
      </c>
      <c r="B492" s="5" t="inlineStr">
        <is>
          <t>PJ-2026-0489</t>
        </is>
      </c>
      <c r="C492" s="6" t="inlineStr">
        <is>
          <t>城东路公交枢纽建设工程</t>
        </is>
      </c>
      <c r="D492" s="4" t="inlineStr">
        <is>
          <t>周军</t>
        </is>
      </c>
      <c r="E492" s="7" t="n">
        <v>2556</v>
      </c>
      <c r="F492" s="7" t="n">
        <v>1456.92</v>
      </c>
      <c r="G492" s="7">
        <f>E492-F492</f>
        <v/>
      </c>
      <c r="H492" s="8">
        <f>IFERROR(F492/E492,0)</f>
        <v/>
      </c>
      <c r="I492" s="4">
        <f>IF(H492&gt;=1,"超预算",IF(H492&gt;=0.9,"预警","正常"))</f>
        <v/>
      </c>
      <c r="J492" s="4">
        <f>RANK(F492,$F$4:$F$1203,0)</f>
        <v/>
      </c>
      <c r="K492" s="4" t="inlineStr">
        <is>
          <t>完工</t>
        </is>
      </c>
    </row>
    <row r="493">
      <c r="A493" s="4" t="n">
        <v>490</v>
      </c>
      <c r="B493" s="5" t="inlineStr">
        <is>
          <t>PJ-2026-0490</t>
        </is>
      </c>
      <c r="C493" s="6" t="inlineStr">
        <is>
          <t>解放路公共停车场建设工程（二期）</t>
        </is>
      </c>
      <c r="D493" s="4" t="inlineStr">
        <is>
          <t>吴明</t>
        </is>
      </c>
      <c r="E493" s="7" t="n">
        <v>2693</v>
      </c>
      <c r="F493" s="7" t="n">
        <v>2315.98</v>
      </c>
      <c r="G493" s="7">
        <f>E493-F493</f>
        <v/>
      </c>
      <c r="H493" s="8">
        <f>IFERROR(F493/E493,0)</f>
        <v/>
      </c>
      <c r="I493" s="4">
        <f>IF(H493&gt;=1,"超预算",IF(H493&gt;=0.9,"预警","正常"))</f>
        <v/>
      </c>
      <c r="J493" s="4">
        <f>RANK(F493,$F$4:$F$1203,0)</f>
        <v/>
      </c>
      <c r="K493" s="4" t="inlineStr">
        <is>
          <t>在建</t>
        </is>
      </c>
    </row>
    <row r="494">
      <c r="A494" s="4" t="n">
        <v>491</v>
      </c>
      <c r="B494" s="5" t="inlineStr">
        <is>
          <t>PJ-2026-0491</t>
        </is>
      </c>
      <c r="C494" s="6" t="inlineStr">
        <is>
          <t>和平街道路改造工程（三期）</t>
        </is>
      </c>
      <c r="D494" s="4" t="inlineStr">
        <is>
          <t>徐桂</t>
        </is>
      </c>
      <c r="E494" s="7" t="n">
        <v>2830</v>
      </c>
      <c r="F494" s="7" t="n">
        <v>1273.5</v>
      </c>
      <c r="G494" s="7">
        <f>E494-F494</f>
        <v/>
      </c>
      <c r="H494" s="8">
        <f>IFERROR(F494/E494,0)</f>
        <v/>
      </c>
      <c r="I494" s="4">
        <f>IF(H494&gt;=1,"超预算",IF(H494&gt;=0.9,"预警","正常"))</f>
        <v/>
      </c>
      <c r="J494" s="4">
        <f>RANK(F494,$F$4:$F$1203,0)</f>
        <v/>
      </c>
      <c r="K494" s="4" t="inlineStr">
        <is>
          <t>待启动</t>
        </is>
      </c>
    </row>
    <row r="495">
      <c r="A495" s="4" t="n">
        <v>492</v>
      </c>
      <c r="B495" s="5" t="inlineStr">
        <is>
          <t>PJ-2026-0492</t>
        </is>
      </c>
      <c r="C495" s="6" t="inlineStr">
        <is>
          <t>光明街老旧小区改造项目（四期）</t>
        </is>
      </c>
      <c r="D495" s="4" t="inlineStr">
        <is>
          <t>孙丽</t>
        </is>
      </c>
      <c r="E495" s="7" t="n">
        <v>2967</v>
      </c>
      <c r="F495" s="7" t="n">
        <v>2195.58</v>
      </c>
      <c r="G495" s="7">
        <f>E495-F495</f>
        <v/>
      </c>
      <c r="H495" s="8">
        <f>IFERROR(F495/E495,0)</f>
        <v/>
      </c>
      <c r="I495" s="4">
        <f>IF(H495&gt;=1,"超预算",IF(H495&gt;=0.9,"预警","正常"))</f>
        <v/>
      </c>
      <c r="J495" s="4">
        <f>RANK(F495,$F$4:$F$1203,0)</f>
        <v/>
      </c>
      <c r="K495" s="4" t="inlineStr">
        <is>
          <t>完工</t>
        </is>
      </c>
    </row>
    <row r="496">
      <c r="A496" s="4" t="n">
        <v>493</v>
      </c>
      <c r="B496" s="5" t="inlineStr">
        <is>
          <t>PJ-2026-0493</t>
        </is>
      </c>
      <c r="C496" s="6" t="inlineStr">
        <is>
          <t>城东路智慧园区建设项目</t>
        </is>
      </c>
      <c r="D496" s="4" t="inlineStr">
        <is>
          <t>马杰</t>
        </is>
      </c>
      <c r="E496" s="7" t="n">
        <v>3104</v>
      </c>
      <c r="F496" s="7" t="n">
        <v>3197.12</v>
      </c>
      <c r="G496" s="7">
        <f>E496-F496</f>
        <v/>
      </c>
      <c r="H496" s="8">
        <f>IFERROR(F496/E496,0)</f>
        <v/>
      </c>
      <c r="I496" s="4">
        <f>IF(H496&gt;=1,"超预算",IF(H496&gt;=0.9,"预警","正常"))</f>
        <v/>
      </c>
      <c r="J496" s="4">
        <f>RANK(F496,$F$4:$F$1203,0)</f>
        <v/>
      </c>
      <c r="K496" s="4" t="inlineStr">
        <is>
          <t>在建</t>
        </is>
      </c>
    </row>
    <row r="497">
      <c r="A497" s="4" t="n">
        <v>494</v>
      </c>
      <c r="B497" s="5" t="inlineStr">
        <is>
          <t>PJ-2026-0494</t>
        </is>
      </c>
      <c r="C497" s="6" t="inlineStr">
        <is>
          <t>解放路污水处理扩容工程（二期）</t>
        </is>
      </c>
      <c r="D497" s="4" t="inlineStr">
        <is>
          <t>朱霞</t>
        </is>
      </c>
      <c r="E497" s="7" t="n">
        <v>3241</v>
      </c>
      <c r="F497" s="7" t="n">
        <v>2009.42</v>
      </c>
      <c r="G497" s="7">
        <f>E497-F497</f>
        <v/>
      </c>
      <c r="H497" s="8">
        <f>IFERROR(F497/E497,0)</f>
        <v/>
      </c>
      <c r="I497" s="4">
        <f>IF(H497&gt;=1,"超预算",IF(H497&gt;=0.9,"预警","正常"))</f>
        <v/>
      </c>
      <c r="J497" s="4">
        <f>RANK(F497,$F$4:$F$1203,0)</f>
        <v/>
      </c>
      <c r="K497" s="4" t="inlineStr">
        <is>
          <t>待启动</t>
        </is>
      </c>
    </row>
    <row r="498">
      <c r="A498" s="4" t="n">
        <v>495</v>
      </c>
      <c r="B498" s="5" t="inlineStr">
        <is>
          <t>PJ-2026-0495</t>
        </is>
      </c>
      <c r="C498" s="6" t="inlineStr">
        <is>
          <t>和平街供水管网更新工程（三期）</t>
        </is>
      </c>
      <c r="D498" s="4" t="inlineStr">
        <is>
          <t>胡娜</t>
        </is>
      </c>
      <c r="E498" s="7" t="n">
        <v>3378</v>
      </c>
      <c r="F498" s="7" t="n">
        <v>3073.98</v>
      </c>
      <c r="G498" s="7">
        <f>E498-F498</f>
        <v/>
      </c>
      <c r="H498" s="8">
        <f>IFERROR(F498/E498,0)</f>
        <v/>
      </c>
      <c r="I498" s="4">
        <f>IF(H498&gt;=1,"超预算",IF(H498&gt;=0.9,"预警","正常"))</f>
        <v/>
      </c>
      <c r="J498" s="4">
        <f>RANK(F498,$F$4:$F$1203,0)</f>
        <v/>
      </c>
      <c r="K498" s="4" t="inlineStr">
        <is>
          <t>完工</t>
        </is>
      </c>
    </row>
    <row r="499">
      <c r="A499" s="4" t="n">
        <v>496</v>
      </c>
      <c r="B499" s="5" t="inlineStr">
        <is>
          <t>PJ-2026-0496</t>
        </is>
      </c>
      <c r="C499" s="6" t="inlineStr">
        <is>
          <t>光明街河道综合整治工程（四期）</t>
        </is>
      </c>
      <c r="D499" s="4" t="inlineStr">
        <is>
          <t>郭洋</t>
        </is>
      </c>
      <c r="E499" s="7" t="n">
        <v>3515</v>
      </c>
      <c r="F499" s="7" t="n">
        <v>1757.5</v>
      </c>
      <c r="G499" s="7">
        <f>E499-F499</f>
        <v/>
      </c>
      <c r="H499" s="8">
        <f>IFERROR(F499/E499,0)</f>
        <v/>
      </c>
      <c r="I499" s="4">
        <f>IF(H499&gt;=1,"超预算",IF(H499&gt;=0.9,"预警","正常"))</f>
        <v/>
      </c>
      <c r="J499" s="4">
        <f>RANK(F499,$F$4:$F$1203,0)</f>
        <v/>
      </c>
      <c r="K499" s="4" t="inlineStr">
        <is>
          <t>在建</t>
        </is>
      </c>
    </row>
    <row r="500">
      <c r="A500" s="4" t="n">
        <v>497</v>
      </c>
      <c r="B500" s="5" t="inlineStr">
        <is>
          <t>PJ-2026-0497</t>
        </is>
      </c>
      <c r="C500" s="6" t="inlineStr">
        <is>
          <t>城东路学校新建工程</t>
        </is>
      </c>
      <c r="D500" s="4" t="inlineStr">
        <is>
          <t>何超</t>
        </is>
      </c>
      <c r="E500" s="7" t="n">
        <v>3652</v>
      </c>
      <c r="F500" s="7" t="n">
        <v>2885.08</v>
      </c>
      <c r="G500" s="7">
        <f>E500-F500</f>
        <v/>
      </c>
      <c r="H500" s="8">
        <f>IFERROR(F500/E500,0)</f>
        <v/>
      </c>
      <c r="I500" s="4">
        <f>IF(H500&gt;=1,"超预算",IF(H500&gt;=0.9,"预警","正常"))</f>
        <v/>
      </c>
      <c r="J500" s="4">
        <f>RANK(F500,$F$4:$F$1203,0)</f>
        <v/>
      </c>
      <c r="K500" s="4" t="inlineStr">
        <is>
          <t>待启动</t>
        </is>
      </c>
    </row>
    <row r="501">
      <c r="A501" s="4" t="n">
        <v>498</v>
      </c>
      <c r="B501" s="5" t="inlineStr">
        <is>
          <t>PJ-2026-0498</t>
        </is>
      </c>
      <c r="C501" s="6" t="inlineStr">
        <is>
          <t>解放路医院改扩建项目（二期）</t>
        </is>
      </c>
      <c r="D501" s="4" t="inlineStr">
        <is>
          <t>高英</t>
        </is>
      </c>
      <c r="E501" s="7" t="n">
        <v>3789</v>
      </c>
      <c r="F501" s="7" t="n">
        <v>4092.12</v>
      </c>
      <c r="G501" s="7">
        <f>E501-F501</f>
        <v/>
      </c>
      <c r="H501" s="8">
        <f>IFERROR(F501/E501,0)</f>
        <v/>
      </c>
      <c r="I501" s="4">
        <f>IF(H501&gt;=1,"超预算",IF(H501&gt;=0.9,"预警","正常"))</f>
        <v/>
      </c>
      <c r="J501" s="4">
        <f>RANK(F501,$F$4:$F$1203,0)</f>
        <v/>
      </c>
      <c r="K501" s="4" t="inlineStr">
        <is>
          <t>完工</t>
        </is>
      </c>
    </row>
    <row r="502">
      <c r="A502" s="4" t="n">
        <v>499</v>
      </c>
      <c r="B502" s="5" t="inlineStr">
        <is>
          <t>PJ-2026-0499</t>
        </is>
      </c>
      <c r="C502" s="6" t="inlineStr">
        <is>
          <t>和平街公交枢纽建设工程（三期）</t>
        </is>
      </c>
      <c r="D502" s="4" t="inlineStr">
        <is>
          <t>林强</t>
        </is>
      </c>
      <c r="E502" s="7" t="n">
        <v>3926</v>
      </c>
      <c r="F502" s="7" t="n">
        <v>2630.42</v>
      </c>
      <c r="G502" s="7">
        <f>E502-F502</f>
        <v/>
      </c>
      <c r="H502" s="8">
        <f>IFERROR(F502/E502,0)</f>
        <v/>
      </c>
      <c r="I502" s="4">
        <f>IF(H502&gt;=1,"超预算",IF(H502&gt;=0.9,"预警","正常"))</f>
        <v/>
      </c>
      <c r="J502" s="4">
        <f>RANK(F502,$F$4:$F$1203,0)</f>
        <v/>
      </c>
      <c r="K502" s="4" t="inlineStr">
        <is>
          <t>在建</t>
        </is>
      </c>
    </row>
    <row r="503">
      <c r="A503" s="4" t="n">
        <v>500</v>
      </c>
      <c r="B503" s="5" t="inlineStr">
        <is>
          <t>PJ-2026-0500</t>
        </is>
      </c>
      <c r="C503" s="6" t="inlineStr">
        <is>
          <t>光明街公共停车场建设工程（四期）</t>
        </is>
      </c>
      <c r="D503" s="4" t="inlineStr">
        <is>
          <t>罗娟</t>
        </is>
      </c>
      <c r="E503" s="7" t="n">
        <v>4063</v>
      </c>
      <c r="F503" s="7" t="n">
        <v>3900.48</v>
      </c>
      <c r="G503" s="7">
        <f>E503-F503</f>
        <v/>
      </c>
      <c r="H503" s="8">
        <f>IFERROR(F503/E503,0)</f>
        <v/>
      </c>
      <c r="I503" s="4">
        <f>IF(H503&gt;=1,"超预算",IF(H503&gt;=0.9,"预警","正常"))</f>
        <v/>
      </c>
      <c r="J503" s="4">
        <f>RANK(F503,$F$4:$F$1203,0)</f>
        <v/>
      </c>
      <c r="K503" s="4" t="inlineStr">
        <is>
          <t>待启动</t>
        </is>
      </c>
    </row>
    <row r="504">
      <c r="A504" s="4" t="n">
        <v>501</v>
      </c>
      <c r="B504" s="5" t="inlineStr">
        <is>
          <t>PJ-2026-0501</t>
        </is>
      </c>
      <c r="C504" s="6" t="inlineStr">
        <is>
          <t>城东路道路改造工程</t>
        </is>
      </c>
      <c r="D504" s="4" t="inlineStr">
        <is>
          <t>张平</t>
        </is>
      </c>
      <c r="E504" s="7" t="n">
        <v>4200</v>
      </c>
      <c r="F504" s="7" t="n">
        <v>2310</v>
      </c>
      <c r="G504" s="7">
        <f>E504-F504</f>
        <v/>
      </c>
      <c r="H504" s="8">
        <f>IFERROR(F504/E504,0)</f>
        <v/>
      </c>
      <c r="I504" s="4">
        <f>IF(H504&gt;=1,"超预算",IF(H504&gt;=0.9,"预警","正常"))</f>
        <v/>
      </c>
      <c r="J504" s="4">
        <f>RANK(F504,$F$4:$F$1203,0)</f>
        <v/>
      </c>
      <c r="K504" s="4" t="inlineStr">
        <is>
          <t>完工</t>
        </is>
      </c>
    </row>
    <row r="505">
      <c r="A505" s="4" t="n">
        <v>502</v>
      </c>
      <c r="B505" s="5" t="inlineStr">
        <is>
          <t>PJ-2026-0502</t>
        </is>
      </c>
      <c r="C505" s="6" t="inlineStr">
        <is>
          <t>解放路老旧小区改造项目（二期）</t>
        </is>
      </c>
      <c r="D505" s="4" t="inlineStr">
        <is>
          <t>王敏</t>
        </is>
      </c>
      <c r="E505" s="7" t="n">
        <v>4337</v>
      </c>
      <c r="F505" s="7" t="n">
        <v>3643.08</v>
      </c>
      <c r="G505" s="7">
        <f>E505-F505</f>
        <v/>
      </c>
      <c r="H505" s="8">
        <f>IFERROR(F505/E505,0)</f>
        <v/>
      </c>
      <c r="I505" s="4">
        <f>IF(H505&gt;=1,"超预算",IF(H505&gt;=0.9,"预警","正常"))</f>
        <v/>
      </c>
      <c r="J505" s="4">
        <f>RANK(F505,$F$4:$F$1203,0)</f>
        <v/>
      </c>
      <c r="K505" s="4" t="inlineStr">
        <is>
          <t>在建</t>
        </is>
      </c>
    </row>
    <row r="506">
      <c r="A506" s="4" t="n">
        <v>503</v>
      </c>
      <c r="B506" s="5" t="inlineStr">
        <is>
          <t>PJ-2026-0503</t>
        </is>
      </c>
      <c r="C506" s="6" t="inlineStr">
        <is>
          <t>和平街智慧园区建设项目（三期）</t>
        </is>
      </c>
      <c r="D506" s="4" t="inlineStr">
        <is>
          <t>李勇</t>
        </is>
      </c>
      <c r="E506" s="7" t="n">
        <v>4474</v>
      </c>
      <c r="F506" s="7" t="n">
        <v>5055.62</v>
      </c>
      <c r="G506" s="7">
        <f>E506-F506</f>
        <v/>
      </c>
      <c r="H506" s="8">
        <f>IFERROR(F506/E506,0)</f>
        <v/>
      </c>
      <c r="I506" s="4">
        <f>IF(H506&gt;=1,"超预算",IF(H506&gt;=0.9,"预警","正常"))</f>
        <v/>
      </c>
      <c r="J506" s="4">
        <f>RANK(F506,$F$4:$F$1203,0)</f>
        <v/>
      </c>
      <c r="K506" s="4" t="inlineStr">
        <is>
          <t>待启动</t>
        </is>
      </c>
    </row>
    <row r="507">
      <c r="A507" s="4" t="n">
        <v>504</v>
      </c>
      <c r="B507" s="5" t="inlineStr">
        <is>
          <t>PJ-2026-0504</t>
        </is>
      </c>
      <c r="C507" s="6" t="inlineStr">
        <is>
          <t>光明街污水处理扩容工程（四期）</t>
        </is>
      </c>
      <c r="D507" s="4" t="inlineStr">
        <is>
          <t>赵秀</t>
        </is>
      </c>
      <c r="E507" s="7" t="n">
        <v>4611</v>
      </c>
      <c r="F507" s="7" t="n">
        <v>3319.92</v>
      </c>
      <c r="G507" s="7">
        <f>E507-F507</f>
        <v/>
      </c>
      <c r="H507" s="8">
        <f>IFERROR(F507/E507,0)</f>
        <v/>
      </c>
      <c r="I507" s="4">
        <f>IF(H507&gt;=1,"超预算",IF(H507&gt;=0.9,"预警","正常"))</f>
        <v/>
      </c>
      <c r="J507" s="4">
        <f>RANK(F507,$F$4:$F$1203,0)</f>
        <v/>
      </c>
      <c r="K507" s="4" t="inlineStr">
        <is>
          <t>完工</t>
        </is>
      </c>
    </row>
    <row r="508">
      <c r="A508" s="4" t="n">
        <v>505</v>
      </c>
      <c r="B508" s="5" t="inlineStr">
        <is>
          <t>PJ-2026-0505</t>
        </is>
      </c>
      <c r="C508" s="6" t="inlineStr">
        <is>
          <t>城东路供水管网更新工程</t>
        </is>
      </c>
      <c r="D508" s="4" t="inlineStr">
        <is>
          <t>刘伟</t>
        </is>
      </c>
      <c r="E508" s="7" t="n">
        <v>4748</v>
      </c>
      <c r="F508" s="7" t="n">
        <v>4795.48</v>
      </c>
      <c r="G508" s="7">
        <f>E508-F508</f>
        <v/>
      </c>
      <c r="H508" s="8">
        <f>IFERROR(F508/E508,0)</f>
        <v/>
      </c>
      <c r="I508" s="4">
        <f>IF(H508&gt;=1,"超预算",IF(H508&gt;=0.9,"预警","正常"))</f>
        <v/>
      </c>
      <c r="J508" s="4">
        <f>RANK(F508,$F$4:$F$1203,0)</f>
        <v/>
      </c>
      <c r="K508" s="4" t="inlineStr">
        <is>
          <t>在建</t>
        </is>
      </c>
    </row>
    <row r="509">
      <c r="A509" s="4" t="n">
        <v>506</v>
      </c>
      <c r="B509" s="5" t="inlineStr">
        <is>
          <t>PJ-2026-0506</t>
        </is>
      </c>
      <c r="C509" s="6" t="inlineStr">
        <is>
          <t>解放路河道综合整治工程（二期）</t>
        </is>
      </c>
      <c r="D509" s="4" t="inlineStr">
        <is>
          <t>陈磊</t>
        </is>
      </c>
      <c r="E509" s="7" t="n">
        <v>4885</v>
      </c>
      <c r="F509" s="7" t="n">
        <v>2931</v>
      </c>
      <c r="G509" s="7">
        <f>E509-F509</f>
        <v/>
      </c>
      <c r="H509" s="8">
        <f>IFERROR(F509/E509,0)</f>
        <v/>
      </c>
      <c r="I509" s="4">
        <f>IF(H509&gt;=1,"超预算",IF(H509&gt;=0.9,"预警","正常"))</f>
        <v/>
      </c>
      <c r="J509" s="4">
        <f>RANK(F509,$F$4:$F$1203,0)</f>
        <v/>
      </c>
      <c r="K509" s="4" t="inlineStr">
        <is>
          <t>待启动</t>
        </is>
      </c>
    </row>
    <row r="510">
      <c r="A510" s="4" t="n">
        <v>507</v>
      </c>
      <c r="B510" s="5" t="inlineStr">
        <is>
          <t>PJ-2026-0507</t>
        </is>
      </c>
      <c r="C510" s="6" t="inlineStr">
        <is>
          <t>和平街学校新建工程（三期）</t>
        </is>
      </c>
      <c r="D510" s="4" t="inlineStr">
        <is>
          <t>杨涛</t>
        </is>
      </c>
      <c r="E510" s="7" t="n">
        <v>72</v>
      </c>
      <c r="F510" s="7" t="n">
        <v>64.08</v>
      </c>
      <c r="G510" s="7">
        <f>E510-F510</f>
        <v/>
      </c>
      <c r="H510" s="8">
        <f>IFERROR(F510/E510,0)</f>
        <v/>
      </c>
      <c r="I510" s="4">
        <f>IF(H510&gt;=1,"超预算",IF(H510&gt;=0.9,"预警","正常"))</f>
        <v/>
      </c>
      <c r="J510" s="4">
        <f>RANK(F510,$F$4:$F$1203,0)</f>
        <v/>
      </c>
      <c r="K510" s="4" t="inlineStr">
        <is>
          <t>完工</t>
        </is>
      </c>
    </row>
    <row r="511">
      <c r="A511" s="4" t="n">
        <v>508</v>
      </c>
      <c r="B511" s="5" t="inlineStr">
        <is>
          <t>PJ-2026-0508</t>
        </is>
      </c>
      <c r="C511" s="6" t="inlineStr">
        <is>
          <t>光明街医院改扩建项目（四期）</t>
        </is>
      </c>
      <c r="D511" s="4" t="inlineStr">
        <is>
          <t>黄刚</t>
        </is>
      </c>
      <c r="E511" s="7" t="n">
        <v>209</v>
      </c>
      <c r="F511" s="7" t="n">
        <v>100.32</v>
      </c>
      <c r="G511" s="7">
        <f>E511-F511</f>
        <v/>
      </c>
      <c r="H511" s="8">
        <f>IFERROR(F511/E511,0)</f>
        <v/>
      </c>
      <c r="I511" s="4">
        <f>IF(H511&gt;=1,"超预算",IF(H511&gt;=0.9,"预警","正常"))</f>
        <v/>
      </c>
      <c r="J511" s="4">
        <f>RANK(F511,$F$4:$F$1203,0)</f>
        <v/>
      </c>
      <c r="K511" s="4" t="inlineStr">
        <is>
          <t>在建</t>
        </is>
      </c>
    </row>
    <row r="512">
      <c r="A512" s="4" t="n">
        <v>509</v>
      </c>
      <c r="B512" s="5" t="inlineStr">
        <is>
          <t>PJ-2026-0509</t>
        </is>
      </c>
      <c r="C512" s="6" t="inlineStr">
        <is>
          <t>城东路公交枢纽建设工程</t>
        </is>
      </c>
      <c r="D512" s="4" t="inlineStr">
        <is>
          <t>周静</t>
        </is>
      </c>
      <c r="E512" s="7" t="n">
        <v>346</v>
      </c>
      <c r="F512" s="7" t="n">
        <v>266.42</v>
      </c>
      <c r="G512" s="7">
        <f>E512-F512</f>
        <v/>
      </c>
      <c r="H512" s="8">
        <f>IFERROR(F512/E512,0)</f>
        <v/>
      </c>
      <c r="I512" s="4">
        <f>IF(H512&gt;=1,"超预算",IF(H512&gt;=0.9,"预警","正常"))</f>
        <v/>
      </c>
      <c r="J512" s="4">
        <f>RANK(F512,$F$4:$F$1203,0)</f>
        <v/>
      </c>
      <c r="K512" s="4" t="inlineStr">
        <is>
          <t>待启动</t>
        </is>
      </c>
    </row>
    <row r="513">
      <c r="A513" s="4" t="n">
        <v>510</v>
      </c>
      <c r="B513" s="5" t="inlineStr">
        <is>
          <t>PJ-2026-0510</t>
        </is>
      </c>
      <c r="C513" s="6" t="inlineStr">
        <is>
          <t>解放路公共停车场建设工程（二期）</t>
        </is>
      </c>
      <c r="D513" s="4" t="inlineStr">
        <is>
          <t>吴艳</t>
        </is>
      </c>
      <c r="E513" s="7" t="n">
        <v>483</v>
      </c>
      <c r="F513" s="7" t="n">
        <v>511.98</v>
      </c>
      <c r="G513" s="7">
        <f>E513-F513</f>
        <v/>
      </c>
      <c r="H513" s="8">
        <f>IFERROR(F513/E513,0)</f>
        <v/>
      </c>
      <c r="I513" s="4">
        <f>IF(H513&gt;=1,"超预算",IF(H513&gt;=0.9,"预警","正常"))</f>
        <v/>
      </c>
      <c r="J513" s="4">
        <f>RANK(F513,$F$4:$F$1203,0)</f>
        <v/>
      </c>
      <c r="K513" s="4" t="inlineStr">
        <is>
          <t>完工</t>
        </is>
      </c>
    </row>
    <row r="514">
      <c r="A514" s="4" t="n">
        <v>511</v>
      </c>
      <c r="B514" s="5" t="inlineStr">
        <is>
          <t>PJ-2026-0511</t>
        </is>
      </c>
      <c r="C514" s="6" t="inlineStr">
        <is>
          <t>和平街道路改造工程（三期）</t>
        </is>
      </c>
      <c r="D514" s="4" t="inlineStr">
        <is>
          <t>徐英</t>
        </is>
      </c>
      <c r="E514" s="7" t="n">
        <v>620</v>
      </c>
      <c r="F514" s="7" t="n">
        <v>403</v>
      </c>
      <c r="G514" s="7">
        <f>E514-F514</f>
        <v/>
      </c>
      <c r="H514" s="8">
        <f>IFERROR(F514/E514,0)</f>
        <v/>
      </c>
      <c r="I514" s="4">
        <f>IF(H514&gt;=1,"超预算",IF(H514&gt;=0.9,"预警","正常"))</f>
        <v/>
      </c>
      <c r="J514" s="4">
        <f>RANK(F514,$F$4:$F$1203,0)</f>
        <v/>
      </c>
      <c r="K514" s="4" t="inlineStr">
        <is>
          <t>在建</t>
        </is>
      </c>
    </row>
    <row r="515">
      <c r="A515" s="4" t="n">
        <v>512</v>
      </c>
      <c r="B515" s="5" t="inlineStr">
        <is>
          <t>PJ-2026-0512</t>
        </is>
      </c>
      <c r="C515" s="6" t="inlineStr">
        <is>
          <t>光明街老旧小区改造项目（四期）</t>
        </is>
      </c>
      <c r="D515" s="4" t="inlineStr">
        <is>
          <t>孙芳</t>
        </is>
      </c>
      <c r="E515" s="7" t="n">
        <v>757</v>
      </c>
      <c r="F515" s="7" t="n">
        <v>711.58</v>
      </c>
      <c r="G515" s="7">
        <f>E515-F515</f>
        <v/>
      </c>
      <c r="H515" s="8">
        <f>IFERROR(F515/E515,0)</f>
        <v/>
      </c>
      <c r="I515" s="4">
        <f>IF(H515&gt;=1,"超预算",IF(H515&gt;=0.9,"预警","正常"))</f>
        <v/>
      </c>
      <c r="J515" s="4">
        <f>RANK(F515,$F$4:$F$1203,0)</f>
        <v/>
      </c>
      <c r="K515" s="4" t="inlineStr">
        <is>
          <t>待启动</t>
        </is>
      </c>
    </row>
    <row r="516">
      <c r="A516" s="4" t="n">
        <v>513</v>
      </c>
      <c r="B516" s="5" t="inlineStr">
        <is>
          <t>PJ-2026-0513</t>
        </is>
      </c>
      <c r="C516" s="6" t="inlineStr">
        <is>
          <t>城东路智慧园区建设项目</t>
        </is>
      </c>
      <c r="D516" s="4" t="inlineStr">
        <is>
          <t>马军</t>
        </is>
      </c>
      <c r="E516" s="7" t="n">
        <v>894</v>
      </c>
      <c r="F516" s="7" t="n">
        <v>473.82</v>
      </c>
      <c r="G516" s="7">
        <f>E516-F516</f>
        <v/>
      </c>
      <c r="H516" s="8">
        <f>IFERROR(F516/E516,0)</f>
        <v/>
      </c>
      <c r="I516" s="4">
        <f>IF(H516&gt;=1,"超预算",IF(H516&gt;=0.9,"预警","正常"))</f>
        <v/>
      </c>
      <c r="J516" s="4">
        <f>RANK(F516,$F$4:$F$1203,0)</f>
        <v/>
      </c>
      <c r="K516" s="4" t="inlineStr">
        <is>
          <t>完工</t>
        </is>
      </c>
    </row>
    <row r="517">
      <c r="A517" s="4" t="n">
        <v>514</v>
      </c>
      <c r="B517" s="5" t="inlineStr">
        <is>
          <t>PJ-2026-0514</t>
        </is>
      </c>
      <c r="C517" s="6" t="inlineStr">
        <is>
          <t>解放路污水处理扩容工程（二期）</t>
        </is>
      </c>
      <c r="D517" s="4" t="inlineStr">
        <is>
          <t>朱明</t>
        </is>
      </c>
      <c r="E517" s="7" t="n">
        <v>1031</v>
      </c>
      <c r="F517" s="7" t="n">
        <v>845.42</v>
      </c>
      <c r="G517" s="7">
        <f>E517-F517</f>
        <v/>
      </c>
      <c r="H517" s="8">
        <f>IFERROR(F517/E517,0)</f>
        <v/>
      </c>
      <c r="I517" s="4">
        <f>IF(H517&gt;=1,"超预算",IF(H517&gt;=0.9,"预警","正常"))</f>
        <v/>
      </c>
      <c r="J517" s="4">
        <f>RANK(F517,$F$4:$F$1203,0)</f>
        <v/>
      </c>
      <c r="K517" s="4" t="inlineStr">
        <is>
          <t>在建</t>
        </is>
      </c>
    </row>
    <row r="518">
      <c r="A518" s="4" t="n">
        <v>515</v>
      </c>
      <c r="B518" s="5" t="inlineStr">
        <is>
          <t>PJ-2026-0515</t>
        </is>
      </c>
      <c r="C518" s="6" t="inlineStr">
        <is>
          <t>和平街供水管网更新工程（三期）</t>
        </is>
      </c>
      <c r="D518" s="4" t="inlineStr">
        <is>
          <t>胡桂</t>
        </is>
      </c>
      <c r="E518" s="7" t="n">
        <v>1168</v>
      </c>
      <c r="F518" s="7" t="n">
        <v>1296.48</v>
      </c>
      <c r="G518" s="7">
        <f>E518-F518</f>
        <v/>
      </c>
      <c r="H518" s="8">
        <f>IFERROR(F518/E518,0)</f>
        <v/>
      </c>
      <c r="I518" s="4">
        <f>IF(H518&gt;=1,"超预算",IF(H518&gt;=0.9,"预警","正常"))</f>
        <v/>
      </c>
      <c r="J518" s="4">
        <f>RANK(F518,$F$4:$F$1203,0)</f>
        <v/>
      </c>
      <c r="K518" s="4" t="inlineStr">
        <is>
          <t>待启动</t>
        </is>
      </c>
    </row>
    <row r="519">
      <c r="A519" s="4" t="n">
        <v>516</v>
      </c>
      <c r="B519" s="5" t="inlineStr">
        <is>
          <t>PJ-2026-0516</t>
        </is>
      </c>
      <c r="C519" s="6" t="inlineStr">
        <is>
          <t>光明街河道综合整治工程（四期）</t>
        </is>
      </c>
      <c r="D519" s="4" t="inlineStr">
        <is>
          <t>郭丽</t>
        </is>
      </c>
      <c r="E519" s="7" t="n">
        <v>1305</v>
      </c>
      <c r="F519" s="7" t="n">
        <v>913.5</v>
      </c>
      <c r="G519" s="7">
        <f>E519-F519</f>
        <v/>
      </c>
      <c r="H519" s="8">
        <f>IFERROR(F519/E519,0)</f>
        <v/>
      </c>
      <c r="I519" s="4">
        <f>IF(H519&gt;=1,"超预算",IF(H519&gt;=0.9,"预警","正常"))</f>
        <v/>
      </c>
      <c r="J519" s="4">
        <f>RANK(F519,$F$4:$F$1203,0)</f>
        <v/>
      </c>
      <c r="K519" s="4" t="inlineStr">
        <is>
          <t>完工</t>
        </is>
      </c>
    </row>
    <row r="520">
      <c r="A520" s="4" t="n">
        <v>517</v>
      </c>
      <c r="B520" s="5" t="inlineStr">
        <is>
          <t>PJ-2026-0517</t>
        </is>
      </c>
      <c r="C520" s="6" t="inlineStr">
        <is>
          <t>城东路学校新建工程</t>
        </is>
      </c>
      <c r="D520" s="4" t="inlineStr">
        <is>
          <t>何杰</t>
        </is>
      </c>
      <c r="E520" s="7" t="n">
        <v>1442</v>
      </c>
      <c r="F520" s="7" t="n">
        <v>1427.58</v>
      </c>
      <c r="G520" s="7">
        <f>E520-F520</f>
        <v/>
      </c>
      <c r="H520" s="8">
        <f>IFERROR(F520/E520,0)</f>
        <v/>
      </c>
      <c r="I520" s="4">
        <f>IF(H520&gt;=1,"超预算",IF(H520&gt;=0.9,"预警","正常"))</f>
        <v/>
      </c>
      <c r="J520" s="4">
        <f>RANK(F520,$F$4:$F$1203,0)</f>
        <v/>
      </c>
      <c r="K520" s="4" t="inlineStr">
        <is>
          <t>在建</t>
        </is>
      </c>
    </row>
    <row r="521">
      <c r="A521" s="4" t="n">
        <v>518</v>
      </c>
      <c r="B521" s="5" t="inlineStr">
        <is>
          <t>PJ-2026-0518</t>
        </is>
      </c>
      <c r="C521" s="6" t="inlineStr">
        <is>
          <t>解放路医院改扩建项目（二期）</t>
        </is>
      </c>
      <c r="D521" s="4" t="inlineStr">
        <is>
          <t>高霞</t>
        </is>
      </c>
      <c r="E521" s="7" t="n">
        <v>1579</v>
      </c>
      <c r="F521" s="7" t="n">
        <v>915.8200000000001</v>
      </c>
      <c r="G521" s="7">
        <f>E521-F521</f>
        <v/>
      </c>
      <c r="H521" s="8">
        <f>IFERROR(F521/E521,0)</f>
        <v/>
      </c>
      <c r="I521" s="4">
        <f>IF(H521&gt;=1,"超预算",IF(H521&gt;=0.9,"预警","正常"))</f>
        <v/>
      </c>
      <c r="J521" s="4">
        <f>RANK(F521,$F$4:$F$1203,0)</f>
        <v/>
      </c>
      <c r="K521" s="4" t="inlineStr">
        <is>
          <t>待启动</t>
        </is>
      </c>
    </row>
    <row r="522">
      <c r="A522" s="4" t="n">
        <v>519</v>
      </c>
      <c r="B522" s="5" t="inlineStr">
        <is>
          <t>PJ-2026-0519</t>
        </is>
      </c>
      <c r="C522" s="6" t="inlineStr">
        <is>
          <t>和平街公交枢纽建设工程（三期）</t>
        </is>
      </c>
      <c r="D522" s="4" t="inlineStr">
        <is>
          <t>林娜</t>
        </is>
      </c>
      <c r="E522" s="7" t="n">
        <v>1716</v>
      </c>
      <c r="F522" s="7" t="n">
        <v>1492.92</v>
      </c>
      <c r="G522" s="7">
        <f>E522-F522</f>
        <v/>
      </c>
      <c r="H522" s="8">
        <f>IFERROR(F522/E522,0)</f>
        <v/>
      </c>
      <c r="I522" s="4">
        <f>IF(H522&gt;=1,"超预算",IF(H522&gt;=0.9,"预警","正常"))</f>
        <v/>
      </c>
      <c r="J522" s="4">
        <f>RANK(F522,$F$4:$F$1203,0)</f>
        <v/>
      </c>
      <c r="K522" s="4" t="inlineStr">
        <is>
          <t>完工</t>
        </is>
      </c>
    </row>
    <row r="523">
      <c r="A523" s="4" t="n">
        <v>520</v>
      </c>
      <c r="B523" s="5" t="inlineStr">
        <is>
          <t>PJ-2026-0520</t>
        </is>
      </c>
      <c r="C523" s="6" t="inlineStr">
        <is>
          <t>光明街公共停车场建设工程（四期）</t>
        </is>
      </c>
      <c r="D523" s="4" t="inlineStr">
        <is>
          <t>罗洋</t>
        </is>
      </c>
      <c r="E523" s="7" t="n">
        <v>1853</v>
      </c>
      <c r="F523" s="7" t="n">
        <v>852.38</v>
      </c>
      <c r="G523" s="7">
        <f>E523-F523</f>
        <v/>
      </c>
      <c r="H523" s="8">
        <f>IFERROR(F523/E523,0)</f>
        <v/>
      </c>
      <c r="I523" s="4">
        <f>IF(H523&gt;=1,"超预算",IF(H523&gt;=0.9,"预警","正常"))</f>
        <v/>
      </c>
      <c r="J523" s="4">
        <f>RANK(F523,$F$4:$F$1203,0)</f>
        <v/>
      </c>
      <c r="K523" s="4" t="inlineStr">
        <is>
          <t>在建</t>
        </is>
      </c>
    </row>
    <row r="524">
      <c r="A524" s="4" t="n">
        <v>521</v>
      </c>
      <c r="B524" s="5" t="inlineStr">
        <is>
          <t>PJ-2026-0521</t>
        </is>
      </c>
      <c r="C524" s="6" t="inlineStr">
        <is>
          <t>城东路道路改造工程</t>
        </is>
      </c>
      <c r="D524" s="4" t="inlineStr">
        <is>
          <t>张超</t>
        </is>
      </c>
      <c r="E524" s="7" t="n">
        <v>1990</v>
      </c>
      <c r="F524" s="7" t="n">
        <v>1492.5</v>
      </c>
      <c r="G524" s="7">
        <f>E524-F524</f>
        <v/>
      </c>
      <c r="H524" s="8">
        <f>IFERROR(F524/E524,0)</f>
        <v/>
      </c>
      <c r="I524" s="4">
        <f>IF(H524&gt;=1,"超预算",IF(H524&gt;=0.9,"预警","正常"))</f>
        <v/>
      </c>
      <c r="J524" s="4">
        <f>RANK(F524,$F$4:$F$1203,0)</f>
        <v/>
      </c>
      <c r="K524" s="4" t="inlineStr">
        <is>
          <t>待启动</t>
        </is>
      </c>
    </row>
    <row r="525">
      <c r="A525" s="4" t="n">
        <v>522</v>
      </c>
      <c r="B525" s="5" t="inlineStr">
        <is>
          <t>PJ-2026-0522</t>
        </is>
      </c>
      <c r="C525" s="6" t="inlineStr">
        <is>
          <t>解放路老旧小区改造项目（二期）</t>
        </is>
      </c>
      <c r="D525" s="4" t="inlineStr">
        <is>
          <t>王英</t>
        </is>
      </c>
      <c r="E525" s="7" t="n">
        <v>2127</v>
      </c>
      <c r="F525" s="7" t="n">
        <v>2212.08</v>
      </c>
      <c r="G525" s="7">
        <f>E525-F525</f>
        <v/>
      </c>
      <c r="H525" s="8">
        <f>IFERROR(F525/E525,0)</f>
        <v/>
      </c>
      <c r="I525" s="4">
        <f>IF(H525&gt;=1,"超预算",IF(H525&gt;=0.9,"预警","正常"))</f>
        <v/>
      </c>
      <c r="J525" s="4">
        <f>RANK(F525,$F$4:$F$1203,0)</f>
        <v/>
      </c>
      <c r="K525" s="4" t="inlineStr">
        <is>
          <t>完工</t>
        </is>
      </c>
    </row>
    <row r="526">
      <c r="A526" s="4" t="n">
        <v>523</v>
      </c>
      <c r="B526" s="5" t="inlineStr">
        <is>
          <t>PJ-2026-0523</t>
        </is>
      </c>
      <c r="C526" s="6" t="inlineStr">
        <is>
          <t>和平街智慧园区建设项目（三期）</t>
        </is>
      </c>
      <c r="D526" s="4" t="inlineStr">
        <is>
          <t>李强</t>
        </is>
      </c>
      <c r="E526" s="7" t="n">
        <v>2264</v>
      </c>
      <c r="F526" s="7" t="n">
        <v>1426.32</v>
      </c>
      <c r="G526" s="7">
        <f>E526-F526</f>
        <v/>
      </c>
      <c r="H526" s="8">
        <f>IFERROR(F526/E526,0)</f>
        <v/>
      </c>
      <c r="I526" s="4">
        <f>IF(H526&gt;=1,"超预算",IF(H526&gt;=0.9,"预警","正常"))</f>
        <v/>
      </c>
      <c r="J526" s="4">
        <f>RANK(F526,$F$4:$F$1203,0)</f>
        <v/>
      </c>
      <c r="K526" s="4" t="inlineStr">
        <is>
          <t>在建</t>
        </is>
      </c>
    </row>
    <row r="527">
      <c r="A527" s="4" t="n">
        <v>524</v>
      </c>
      <c r="B527" s="5" t="inlineStr">
        <is>
          <t>PJ-2026-0524</t>
        </is>
      </c>
      <c r="C527" s="6" t="inlineStr">
        <is>
          <t>光明街污水处理扩容工程（四期）</t>
        </is>
      </c>
      <c r="D527" s="4" t="inlineStr">
        <is>
          <t>赵娟</t>
        </is>
      </c>
      <c r="E527" s="7" t="n">
        <v>2401</v>
      </c>
      <c r="F527" s="7" t="n">
        <v>2208.92</v>
      </c>
      <c r="G527" s="7">
        <f>E527-F527</f>
        <v/>
      </c>
      <c r="H527" s="8">
        <f>IFERROR(F527/E527,0)</f>
        <v/>
      </c>
      <c r="I527" s="4">
        <f>IF(H527&gt;=1,"超预算",IF(H527&gt;=0.9,"预警","正常"))</f>
        <v/>
      </c>
      <c r="J527" s="4">
        <f>RANK(F527,$F$4:$F$1203,0)</f>
        <v/>
      </c>
      <c r="K527" s="4" t="inlineStr">
        <is>
          <t>待启动</t>
        </is>
      </c>
    </row>
    <row r="528">
      <c r="A528" s="4" t="n">
        <v>525</v>
      </c>
      <c r="B528" s="5" t="inlineStr">
        <is>
          <t>PJ-2026-0525</t>
        </is>
      </c>
      <c r="C528" s="6" t="inlineStr">
        <is>
          <t>城东路供水管网更新工程</t>
        </is>
      </c>
      <c r="D528" s="4" t="inlineStr">
        <is>
          <t>刘平</t>
        </is>
      </c>
      <c r="E528" s="7" t="n">
        <v>2538</v>
      </c>
      <c r="F528" s="7" t="n">
        <v>1294.38</v>
      </c>
      <c r="G528" s="7">
        <f>E528-F528</f>
        <v/>
      </c>
      <c r="H528" s="8">
        <f>IFERROR(F528/E528,0)</f>
        <v/>
      </c>
      <c r="I528" s="4">
        <f>IF(H528&gt;=1,"超预算",IF(H528&gt;=0.9,"预警","正常"))</f>
        <v/>
      </c>
      <c r="J528" s="4">
        <f>RANK(F528,$F$4:$F$1203,0)</f>
        <v/>
      </c>
      <c r="K528" s="4" t="inlineStr">
        <is>
          <t>完工</t>
        </is>
      </c>
    </row>
    <row r="529">
      <c r="A529" s="4" t="n">
        <v>526</v>
      </c>
      <c r="B529" s="5" t="inlineStr">
        <is>
          <t>PJ-2026-0526</t>
        </is>
      </c>
      <c r="C529" s="6" t="inlineStr">
        <is>
          <t>解放路河道综合整治工程（二期）</t>
        </is>
      </c>
      <c r="D529" s="4" t="inlineStr">
        <is>
          <t>陈敏</t>
        </is>
      </c>
      <c r="E529" s="7" t="n">
        <v>2675</v>
      </c>
      <c r="F529" s="7" t="n">
        <v>2140</v>
      </c>
      <c r="G529" s="7">
        <f>E529-F529</f>
        <v/>
      </c>
      <c r="H529" s="8">
        <f>IFERROR(F529/E529,0)</f>
        <v/>
      </c>
      <c r="I529" s="4">
        <f>IF(H529&gt;=1,"超预算",IF(H529&gt;=0.9,"预警","正常"))</f>
        <v/>
      </c>
      <c r="J529" s="4">
        <f>RANK(F529,$F$4:$F$1203,0)</f>
        <v/>
      </c>
      <c r="K529" s="4" t="inlineStr">
        <is>
          <t>在建</t>
        </is>
      </c>
    </row>
    <row r="530">
      <c r="A530" s="4" t="n">
        <v>527</v>
      </c>
      <c r="B530" s="5" t="inlineStr">
        <is>
          <t>PJ-2026-0527</t>
        </is>
      </c>
      <c r="C530" s="6" t="inlineStr">
        <is>
          <t>和平街学校新建工程（三期）</t>
        </is>
      </c>
      <c r="D530" s="4" t="inlineStr">
        <is>
          <t>杨勇</t>
        </is>
      </c>
      <c r="E530" s="7" t="n">
        <v>2812</v>
      </c>
      <c r="F530" s="7" t="n">
        <v>3065.08</v>
      </c>
      <c r="G530" s="7">
        <f>E530-F530</f>
        <v/>
      </c>
      <c r="H530" s="8">
        <f>IFERROR(F530/E530,0)</f>
        <v/>
      </c>
      <c r="I530" s="4">
        <f>IF(H530&gt;=1,"超预算",IF(H530&gt;=0.9,"预警","正常"))</f>
        <v/>
      </c>
      <c r="J530" s="4">
        <f>RANK(F530,$F$4:$F$1203,0)</f>
        <v/>
      </c>
      <c r="K530" s="4" t="inlineStr">
        <is>
          <t>待启动</t>
        </is>
      </c>
    </row>
    <row r="531">
      <c r="A531" s="4" t="n">
        <v>528</v>
      </c>
      <c r="B531" s="5" t="inlineStr">
        <is>
          <t>PJ-2026-0528</t>
        </is>
      </c>
      <c r="C531" s="6" t="inlineStr">
        <is>
          <t>光明街医院改扩建项目（四期）</t>
        </is>
      </c>
      <c r="D531" s="4" t="inlineStr">
        <is>
          <t>黄秀</t>
        </is>
      </c>
      <c r="E531" s="7" t="n">
        <v>2949</v>
      </c>
      <c r="F531" s="7" t="n">
        <v>2005.32</v>
      </c>
      <c r="G531" s="7">
        <f>E531-F531</f>
        <v/>
      </c>
      <c r="H531" s="8">
        <f>IFERROR(F531/E531,0)</f>
        <v/>
      </c>
      <c r="I531" s="4">
        <f>IF(H531&gt;=1,"超预算",IF(H531&gt;=0.9,"预警","正常"))</f>
        <v/>
      </c>
      <c r="J531" s="4">
        <f>RANK(F531,$F$4:$F$1203,0)</f>
        <v/>
      </c>
      <c r="K531" s="4" t="inlineStr">
        <is>
          <t>完工</t>
        </is>
      </c>
    </row>
    <row r="532">
      <c r="A532" s="4" t="n">
        <v>529</v>
      </c>
      <c r="B532" s="5" t="inlineStr">
        <is>
          <t>PJ-2026-0529</t>
        </is>
      </c>
      <c r="C532" s="6" t="inlineStr">
        <is>
          <t>城东路公交枢纽建设工程</t>
        </is>
      </c>
      <c r="D532" s="4" t="inlineStr">
        <is>
          <t>周伟</t>
        </is>
      </c>
      <c r="E532" s="7" t="n">
        <v>3086</v>
      </c>
      <c r="F532" s="7" t="n">
        <v>2993.42</v>
      </c>
      <c r="G532" s="7">
        <f>E532-F532</f>
        <v/>
      </c>
      <c r="H532" s="8">
        <f>IFERROR(F532/E532,0)</f>
        <v/>
      </c>
      <c r="I532" s="4">
        <f>IF(H532&gt;=1,"超预算",IF(H532&gt;=0.9,"预警","正常"))</f>
        <v/>
      </c>
      <c r="J532" s="4">
        <f>RANK(F532,$F$4:$F$1203,0)</f>
        <v/>
      </c>
      <c r="K532" s="4" t="inlineStr">
        <is>
          <t>在建</t>
        </is>
      </c>
    </row>
    <row r="533">
      <c r="A533" s="4" t="n">
        <v>530</v>
      </c>
      <c r="B533" s="5" t="inlineStr">
        <is>
          <t>PJ-2026-0530</t>
        </is>
      </c>
      <c r="C533" s="6" t="inlineStr">
        <is>
          <t>解放路公共停车场建设工程（二期）</t>
        </is>
      </c>
      <c r="D533" s="4" t="inlineStr">
        <is>
          <t>吴磊</t>
        </is>
      </c>
      <c r="E533" s="7" t="n">
        <v>3223</v>
      </c>
      <c r="F533" s="7" t="n">
        <v>1804.88</v>
      </c>
      <c r="G533" s="7">
        <f>E533-F533</f>
        <v/>
      </c>
      <c r="H533" s="8">
        <f>IFERROR(F533/E533,0)</f>
        <v/>
      </c>
      <c r="I533" s="4">
        <f>IF(H533&gt;=1,"超预算",IF(H533&gt;=0.9,"预警","正常"))</f>
        <v/>
      </c>
      <c r="J533" s="4">
        <f>RANK(F533,$F$4:$F$1203,0)</f>
        <v/>
      </c>
      <c r="K533" s="4" t="inlineStr">
        <is>
          <t>待启动</t>
        </is>
      </c>
    </row>
    <row r="534">
      <c r="A534" s="4" t="n">
        <v>531</v>
      </c>
      <c r="B534" s="5" t="inlineStr">
        <is>
          <t>PJ-2026-0531</t>
        </is>
      </c>
      <c r="C534" s="6" t="inlineStr">
        <is>
          <t>和平街道路改造工程（三期）</t>
        </is>
      </c>
      <c r="D534" s="4" t="inlineStr">
        <is>
          <t>徐涛</t>
        </is>
      </c>
      <c r="E534" s="7" t="n">
        <v>3360</v>
      </c>
      <c r="F534" s="7" t="n">
        <v>2856</v>
      </c>
      <c r="G534" s="7">
        <f>E534-F534</f>
        <v/>
      </c>
      <c r="H534" s="8">
        <f>IFERROR(F534/E534,0)</f>
        <v/>
      </c>
      <c r="I534" s="4">
        <f>IF(H534&gt;=1,"超预算",IF(H534&gt;=0.9,"预警","正常"))</f>
        <v/>
      </c>
      <c r="J534" s="4">
        <f>RANK(F534,$F$4:$F$1203,0)</f>
        <v/>
      </c>
      <c r="K534" s="4" t="inlineStr">
        <is>
          <t>完工</t>
        </is>
      </c>
    </row>
    <row r="535">
      <c r="A535" s="4" t="n">
        <v>532</v>
      </c>
      <c r="B535" s="5" t="inlineStr">
        <is>
          <t>PJ-2026-0532</t>
        </is>
      </c>
      <c r="C535" s="6" t="inlineStr">
        <is>
          <t>光明街老旧小区改造项目（四期）</t>
        </is>
      </c>
      <c r="D535" s="4" t="inlineStr">
        <is>
          <t>孙刚</t>
        </is>
      </c>
      <c r="E535" s="7" t="n">
        <v>3497</v>
      </c>
      <c r="F535" s="7" t="n">
        <v>3986.58</v>
      </c>
      <c r="G535" s="7">
        <f>E535-F535</f>
        <v/>
      </c>
      <c r="H535" s="8">
        <f>IFERROR(F535/E535,0)</f>
        <v/>
      </c>
      <c r="I535" s="4">
        <f>IF(H535&gt;=1,"超预算",IF(H535&gt;=0.9,"预警","正常"))</f>
        <v/>
      </c>
      <c r="J535" s="4">
        <f>RANK(F535,$F$4:$F$1203,0)</f>
        <v/>
      </c>
      <c r="K535" s="4" t="inlineStr">
        <is>
          <t>在建</t>
        </is>
      </c>
    </row>
    <row r="536">
      <c r="A536" s="4" t="n">
        <v>533</v>
      </c>
      <c r="B536" s="5" t="inlineStr">
        <is>
          <t>PJ-2026-0533</t>
        </is>
      </c>
      <c r="C536" s="6" t="inlineStr">
        <is>
          <t>城东路智慧园区建设项目</t>
        </is>
      </c>
      <c r="D536" s="4" t="inlineStr">
        <is>
          <t>马静</t>
        </is>
      </c>
      <c r="E536" s="7" t="n">
        <v>3634</v>
      </c>
      <c r="F536" s="7" t="n">
        <v>2652.82</v>
      </c>
      <c r="G536" s="7">
        <f>E536-F536</f>
        <v/>
      </c>
      <c r="H536" s="8">
        <f>IFERROR(F536/E536,0)</f>
        <v/>
      </c>
      <c r="I536" s="4">
        <f>IF(H536&gt;=1,"超预算",IF(H536&gt;=0.9,"预警","正常"))</f>
        <v/>
      </c>
      <c r="J536" s="4">
        <f>RANK(F536,$F$4:$F$1203,0)</f>
        <v/>
      </c>
      <c r="K536" s="4" t="inlineStr">
        <is>
          <t>待启动</t>
        </is>
      </c>
    </row>
    <row r="537">
      <c r="A537" s="4" t="n">
        <v>534</v>
      </c>
      <c r="B537" s="5" t="inlineStr">
        <is>
          <t>PJ-2026-0534</t>
        </is>
      </c>
      <c r="C537" s="6" t="inlineStr">
        <is>
          <t>解放路污水处理扩容工程（二期）</t>
        </is>
      </c>
      <c r="D537" s="4" t="inlineStr">
        <is>
          <t>朱艳</t>
        </is>
      </c>
      <c r="E537" s="7" t="n">
        <v>3771</v>
      </c>
      <c r="F537" s="7" t="n">
        <v>3846.42</v>
      </c>
      <c r="G537" s="7">
        <f>E537-F537</f>
        <v/>
      </c>
      <c r="H537" s="8">
        <f>IFERROR(F537/E537,0)</f>
        <v/>
      </c>
      <c r="I537" s="4">
        <f>IF(H537&gt;=1,"超预算",IF(H537&gt;=0.9,"预警","正常"))</f>
        <v/>
      </c>
      <c r="J537" s="4">
        <f>RANK(F537,$F$4:$F$1203,0)</f>
        <v/>
      </c>
      <c r="K537" s="4" t="inlineStr">
        <is>
          <t>完工</t>
        </is>
      </c>
    </row>
    <row r="538">
      <c r="A538" s="4" t="n">
        <v>535</v>
      </c>
      <c r="B538" s="5" t="inlineStr">
        <is>
          <t>PJ-2026-0535</t>
        </is>
      </c>
      <c r="C538" s="6" t="inlineStr">
        <is>
          <t>和平街供水管网更新工程（三期）</t>
        </is>
      </c>
      <c r="D538" s="4" t="inlineStr">
        <is>
          <t>胡英</t>
        </is>
      </c>
      <c r="E538" s="7" t="n">
        <v>3908</v>
      </c>
      <c r="F538" s="7" t="n">
        <v>2383.88</v>
      </c>
      <c r="G538" s="7">
        <f>E538-F538</f>
        <v/>
      </c>
      <c r="H538" s="8">
        <f>IFERROR(F538/E538,0)</f>
        <v/>
      </c>
      <c r="I538" s="4">
        <f>IF(H538&gt;=1,"超预算",IF(H538&gt;=0.9,"预警","正常"))</f>
        <v/>
      </c>
      <c r="J538" s="4">
        <f>RANK(F538,$F$4:$F$1203,0)</f>
        <v/>
      </c>
      <c r="K538" s="4" t="inlineStr">
        <is>
          <t>在建</t>
        </is>
      </c>
    </row>
    <row r="539">
      <c r="A539" s="4" t="n">
        <v>536</v>
      </c>
      <c r="B539" s="5" t="inlineStr">
        <is>
          <t>PJ-2026-0536</t>
        </is>
      </c>
      <c r="C539" s="6" t="inlineStr">
        <is>
          <t>光明街河道综合整治工程（四期）</t>
        </is>
      </c>
      <c r="D539" s="4" t="inlineStr">
        <is>
          <t>郭芳</t>
        </is>
      </c>
      <c r="E539" s="7" t="n">
        <v>4045</v>
      </c>
      <c r="F539" s="7" t="n">
        <v>3640.5</v>
      </c>
      <c r="G539" s="7">
        <f>E539-F539</f>
        <v/>
      </c>
      <c r="H539" s="8">
        <f>IFERROR(F539/E539,0)</f>
        <v/>
      </c>
      <c r="I539" s="4">
        <f>IF(H539&gt;=1,"超预算",IF(H539&gt;=0.9,"预警","正常"))</f>
        <v/>
      </c>
      <c r="J539" s="4">
        <f>RANK(F539,$F$4:$F$1203,0)</f>
        <v/>
      </c>
      <c r="K539" s="4" t="inlineStr">
        <is>
          <t>待启动</t>
        </is>
      </c>
    </row>
    <row r="540">
      <c r="A540" s="4" t="n">
        <v>537</v>
      </c>
      <c r="B540" s="5" t="inlineStr">
        <is>
          <t>PJ-2026-0537</t>
        </is>
      </c>
      <c r="C540" s="6" t="inlineStr">
        <is>
          <t>城东路学校新建工程</t>
        </is>
      </c>
      <c r="D540" s="4" t="inlineStr">
        <is>
          <t>何军</t>
        </is>
      </c>
      <c r="E540" s="7" t="n">
        <v>4182</v>
      </c>
      <c r="F540" s="7" t="n">
        <v>2049.18</v>
      </c>
      <c r="G540" s="7">
        <f>E540-F540</f>
        <v/>
      </c>
      <c r="H540" s="8">
        <f>IFERROR(F540/E540,0)</f>
        <v/>
      </c>
      <c r="I540" s="4">
        <f>IF(H540&gt;=1,"超预算",IF(H540&gt;=0.9,"预警","正常"))</f>
        <v/>
      </c>
      <c r="J540" s="4">
        <f>RANK(F540,$F$4:$F$1203,0)</f>
        <v/>
      </c>
      <c r="K540" s="4" t="inlineStr">
        <is>
          <t>完工</t>
        </is>
      </c>
    </row>
    <row r="541">
      <c r="A541" s="4" t="n">
        <v>538</v>
      </c>
      <c r="B541" s="5" t="inlineStr">
        <is>
          <t>PJ-2026-0538</t>
        </is>
      </c>
      <c r="C541" s="6" t="inlineStr">
        <is>
          <t>解放路医院改扩建项目（二期）</t>
        </is>
      </c>
      <c r="D541" s="4" t="inlineStr">
        <is>
          <t>高明</t>
        </is>
      </c>
      <c r="E541" s="7" t="n">
        <v>4319</v>
      </c>
      <c r="F541" s="7" t="n">
        <v>3368.82</v>
      </c>
      <c r="G541" s="7">
        <f>E541-F541</f>
        <v/>
      </c>
      <c r="H541" s="8">
        <f>IFERROR(F541/E541,0)</f>
        <v/>
      </c>
      <c r="I541" s="4">
        <f>IF(H541&gt;=1,"超预算",IF(H541&gt;=0.9,"预警","正常"))</f>
        <v/>
      </c>
      <c r="J541" s="4">
        <f>RANK(F541,$F$4:$F$1203,0)</f>
        <v/>
      </c>
      <c r="K541" s="4" t="inlineStr">
        <is>
          <t>在建</t>
        </is>
      </c>
    </row>
    <row r="542">
      <c r="A542" s="4" t="n">
        <v>539</v>
      </c>
      <c r="B542" s="5" t="inlineStr">
        <is>
          <t>PJ-2026-0539</t>
        </is>
      </c>
      <c r="C542" s="6" t="inlineStr">
        <is>
          <t>和平街公交枢纽建设工程（三期）</t>
        </is>
      </c>
      <c r="D542" s="4" t="inlineStr">
        <is>
          <t>林桂</t>
        </is>
      </c>
      <c r="E542" s="7" t="n">
        <v>4456</v>
      </c>
      <c r="F542" s="7" t="n">
        <v>4767.92</v>
      </c>
      <c r="G542" s="7">
        <f>E542-F542</f>
        <v/>
      </c>
      <c r="H542" s="8">
        <f>IFERROR(F542/E542,0)</f>
        <v/>
      </c>
      <c r="I542" s="4">
        <f>IF(H542&gt;=1,"超预算",IF(H542&gt;=0.9,"预警","正常"))</f>
        <v/>
      </c>
      <c r="J542" s="4">
        <f>RANK(F542,$F$4:$F$1203,0)</f>
        <v/>
      </c>
      <c r="K542" s="4" t="inlineStr">
        <is>
          <t>待启动</t>
        </is>
      </c>
    </row>
    <row r="543">
      <c r="A543" s="4" t="n">
        <v>540</v>
      </c>
      <c r="B543" s="5" t="inlineStr">
        <is>
          <t>PJ-2026-0540</t>
        </is>
      </c>
      <c r="C543" s="6" t="inlineStr">
        <is>
          <t>光明街公共停车场建设工程（四期）</t>
        </is>
      </c>
      <c r="D543" s="4" t="inlineStr">
        <is>
          <t>罗丽</t>
        </is>
      </c>
      <c r="E543" s="7" t="n">
        <v>4593</v>
      </c>
      <c r="F543" s="7" t="n">
        <v>3031.38</v>
      </c>
      <c r="G543" s="7">
        <f>E543-F543</f>
        <v/>
      </c>
      <c r="H543" s="8">
        <f>IFERROR(F543/E543,0)</f>
        <v/>
      </c>
      <c r="I543" s="4">
        <f>IF(H543&gt;=1,"超预算",IF(H543&gt;=0.9,"预警","正常"))</f>
        <v/>
      </c>
      <c r="J543" s="4">
        <f>RANK(F543,$F$4:$F$1203,0)</f>
        <v/>
      </c>
      <c r="K543" s="4" t="inlineStr">
        <is>
          <t>完工</t>
        </is>
      </c>
    </row>
    <row r="544">
      <c r="A544" s="4" t="n">
        <v>541</v>
      </c>
      <c r="B544" s="5" t="inlineStr">
        <is>
          <t>PJ-2026-0541</t>
        </is>
      </c>
      <c r="C544" s="6" t="inlineStr">
        <is>
          <t>城东路道路改造工程</t>
        </is>
      </c>
      <c r="D544" s="4" t="inlineStr">
        <is>
          <t>张杰</t>
        </is>
      </c>
      <c r="E544" s="7" t="n">
        <v>4730</v>
      </c>
      <c r="F544" s="7" t="n">
        <v>4493.5</v>
      </c>
      <c r="G544" s="7">
        <f>E544-F544</f>
        <v/>
      </c>
      <c r="H544" s="8">
        <f>IFERROR(F544/E544,0)</f>
        <v/>
      </c>
      <c r="I544" s="4">
        <f>IF(H544&gt;=1,"超预算",IF(H544&gt;=0.9,"预警","正常"))</f>
        <v/>
      </c>
      <c r="J544" s="4">
        <f>RANK(F544,$F$4:$F$1203,0)</f>
        <v/>
      </c>
      <c r="K544" s="4" t="inlineStr">
        <is>
          <t>在建</t>
        </is>
      </c>
    </row>
    <row r="545">
      <c r="A545" s="4" t="n">
        <v>542</v>
      </c>
      <c r="B545" s="5" t="inlineStr">
        <is>
          <t>PJ-2026-0542</t>
        </is>
      </c>
      <c r="C545" s="6" t="inlineStr">
        <is>
          <t>解放路老旧小区改造项目（二期）</t>
        </is>
      </c>
      <c r="D545" s="4" t="inlineStr">
        <is>
          <t>王霞</t>
        </is>
      </c>
      <c r="E545" s="7" t="n">
        <v>4867</v>
      </c>
      <c r="F545" s="7" t="n">
        <v>2628.18</v>
      </c>
      <c r="G545" s="7">
        <f>E545-F545</f>
        <v/>
      </c>
      <c r="H545" s="8">
        <f>IFERROR(F545/E545,0)</f>
        <v/>
      </c>
      <c r="I545" s="4">
        <f>IF(H545&gt;=1,"超预算",IF(H545&gt;=0.9,"预警","正常"))</f>
        <v/>
      </c>
      <c r="J545" s="4">
        <f>RANK(F545,$F$4:$F$1203,0)</f>
        <v/>
      </c>
      <c r="K545" s="4" t="inlineStr">
        <is>
          <t>待启动</t>
        </is>
      </c>
    </row>
    <row r="546">
      <c r="A546" s="4" t="n">
        <v>543</v>
      </c>
      <c r="B546" s="5" t="inlineStr">
        <is>
          <t>PJ-2026-0543</t>
        </is>
      </c>
      <c r="C546" s="6" t="inlineStr">
        <is>
          <t>和平街智慧园区建设项目（三期）</t>
        </is>
      </c>
      <c r="D546" s="4" t="inlineStr">
        <is>
          <t>李娜</t>
        </is>
      </c>
      <c r="E546" s="7" t="n">
        <v>54</v>
      </c>
      <c r="F546" s="7" t="n">
        <v>44.82</v>
      </c>
      <c r="G546" s="7">
        <f>E546-F546</f>
        <v/>
      </c>
      <c r="H546" s="8">
        <f>IFERROR(F546/E546,0)</f>
        <v/>
      </c>
      <c r="I546" s="4">
        <f>IF(H546&gt;=1,"超预算",IF(H546&gt;=0.9,"预警","正常"))</f>
        <v/>
      </c>
      <c r="J546" s="4">
        <f>RANK(F546,$F$4:$F$1203,0)</f>
        <v/>
      </c>
      <c r="K546" s="4" t="inlineStr">
        <is>
          <t>完工</t>
        </is>
      </c>
    </row>
    <row r="547">
      <c r="A547" s="4" t="n">
        <v>544</v>
      </c>
      <c r="B547" s="5" t="inlineStr">
        <is>
          <t>PJ-2026-0544</t>
        </is>
      </c>
      <c r="C547" s="6" t="inlineStr">
        <is>
          <t>光明街污水处理扩容工程（四期）</t>
        </is>
      </c>
      <c r="D547" s="4" t="inlineStr">
        <is>
          <t>赵洋</t>
        </is>
      </c>
      <c r="E547" s="7" t="n">
        <v>191</v>
      </c>
      <c r="F547" s="7" t="n">
        <v>213.92</v>
      </c>
      <c r="G547" s="7">
        <f>E547-F547</f>
        <v/>
      </c>
      <c r="H547" s="8">
        <f>IFERROR(F547/E547,0)</f>
        <v/>
      </c>
      <c r="I547" s="4">
        <f>IF(H547&gt;=1,"超预算",IF(H547&gt;=0.9,"预警","正常"))</f>
        <v/>
      </c>
      <c r="J547" s="4">
        <f>RANK(F547,$F$4:$F$1203,0)</f>
        <v/>
      </c>
      <c r="K547" s="4" t="inlineStr">
        <is>
          <t>在建</t>
        </is>
      </c>
    </row>
    <row r="548">
      <c r="A548" s="4" t="n">
        <v>545</v>
      </c>
      <c r="B548" s="5" t="inlineStr">
        <is>
          <t>PJ-2026-0545</t>
        </is>
      </c>
      <c r="C548" s="6" t="inlineStr">
        <is>
          <t>城东路供水管网更新工程</t>
        </is>
      </c>
      <c r="D548" s="4" t="inlineStr">
        <is>
          <t>刘超</t>
        </is>
      </c>
      <c r="E548" s="7" t="n">
        <v>328</v>
      </c>
      <c r="F548" s="7" t="n">
        <v>232.88</v>
      </c>
      <c r="G548" s="7">
        <f>E548-F548</f>
        <v/>
      </c>
      <c r="H548" s="8">
        <f>IFERROR(F548/E548,0)</f>
        <v/>
      </c>
      <c r="I548" s="4">
        <f>IF(H548&gt;=1,"超预算",IF(H548&gt;=0.9,"预警","正常"))</f>
        <v/>
      </c>
      <c r="J548" s="4">
        <f>RANK(F548,$F$4:$F$1203,0)</f>
        <v/>
      </c>
      <c r="K548" s="4" t="inlineStr">
        <is>
          <t>待启动</t>
        </is>
      </c>
    </row>
    <row r="549">
      <c r="A549" s="4" t="n">
        <v>546</v>
      </c>
      <c r="B549" s="5" t="inlineStr">
        <is>
          <t>PJ-2026-0546</t>
        </is>
      </c>
      <c r="C549" s="6" t="inlineStr">
        <is>
          <t>解放路河道综合整治工程（二期）</t>
        </is>
      </c>
      <c r="D549" s="4" t="inlineStr">
        <is>
          <t>陈英</t>
        </is>
      </c>
      <c r="E549" s="7" t="n">
        <v>465</v>
      </c>
      <c r="F549" s="7" t="n">
        <v>465</v>
      </c>
      <c r="G549" s="7">
        <f>E549-F549</f>
        <v/>
      </c>
      <c r="H549" s="8">
        <f>IFERROR(F549/E549,0)</f>
        <v/>
      </c>
      <c r="I549" s="4">
        <f>IF(H549&gt;=1,"超预算",IF(H549&gt;=0.9,"预警","正常"))</f>
        <v/>
      </c>
      <c r="J549" s="4">
        <f>RANK(F549,$F$4:$F$1203,0)</f>
        <v/>
      </c>
      <c r="K549" s="4" t="inlineStr">
        <is>
          <t>完工</t>
        </is>
      </c>
    </row>
    <row r="550">
      <c r="A550" s="4" t="n">
        <v>547</v>
      </c>
      <c r="B550" s="5" t="inlineStr">
        <is>
          <t>PJ-2026-0547</t>
        </is>
      </c>
      <c r="C550" s="6" t="inlineStr">
        <is>
          <t>和平街学校新建工程（三期）</t>
        </is>
      </c>
      <c r="D550" s="4" t="inlineStr">
        <is>
          <t>杨强</t>
        </is>
      </c>
      <c r="E550" s="7" t="n">
        <v>602</v>
      </c>
      <c r="F550" s="7" t="n">
        <v>355.18</v>
      </c>
      <c r="G550" s="7">
        <f>E550-F550</f>
        <v/>
      </c>
      <c r="H550" s="8">
        <f>IFERROR(F550/E550,0)</f>
        <v/>
      </c>
      <c r="I550" s="4">
        <f>IF(H550&gt;=1,"超预算",IF(H550&gt;=0.9,"预警","正常"))</f>
        <v/>
      </c>
      <c r="J550" s="4">
        <f>RANK(F550,$F$4:$F$1203,0)</f>
        <v/>
      </c>
      <c r="K550" s="4" t="inlineStr">
        <is>
          <t>在建</t>
        </is>
      </c>
    </row>
    <row r="551">
      <c r="A551" s="4" t="n">
        <v>548</v>
      </c>
      <c r="B551" s="5" t="inlineStr">
        <is>
          <t>PJ-2026-0548</t>
        </is>
      </c>
      <c r="C551" s="6" t="inlineStr">
        <is>
          <t>光明街医院改扩建项目（四期）</t>
        </is>
      </c>
      <c r="D551" s="4" t="inlineStr">
        <is>
          <t>黄娟</t>
        </is>
      </c>
      <c r="E551" s="7" t="n">
        <v>739</v>
      </c>
      <c r="F551" s="7" t="n">
        <v>650.3200000000001</v>
      </c>
      <c r="G551" s="7">
        <f>E551-F551</f>
        <v/>
      </c>
      <c r="H551" s="8">
        <f>IFERROR(F551/E551,0)</f>
        <v/>
      </c>
      <c r="I551" s="4">
        <f>IF(H551&gt;=1,"超预算",IF(H551&gt;=0.9,"预警","正常"))</f>
        <v/>
      </c>
      <c r="J551" s="4">
        <f>RANK(F551,$F$4:$F$1203,0)</f>
        <v/>
      </c>
      <c r="K551" s="4" t="inlineStr">
        <is>
          <t>待启动</t>
        </is>
      </c>
    </row>
    <row r="552">
      <c r="A552" s="4" t="n">
        <v>549</v>
      </c>
      <c r="B552" s="5" t="inlineStr">
        <is>
          <t>PJ-2026-0549</t>
        </is>
      </c>
      <c r="C552" s="6" t="inlineStr">
        <is>
          <t>城东路公交枢纽建设工程</t>
        </is>
      </c>
      <c r="D552" s="4" t="inlineStr">
        <is>
          <t>周平</t>
        </is>
      </c>
      <c r="E552" s="7" t="n">
        <v>876</v>
      </c>
      <c r="F552" s="7" t="n">
        <v>411.72</v>
      </c>
      <c r="G552" s="7">
        <f>E552-F552</f>
        <v/>
      </c>
      <c r="H552" s="8">
        <f>IFERROR(F552/E552,0)</f>
        <v/>
      </c>
      <c r="I552" s="4">
        <f>IF(H552&gt;=1,"超预算",IF(H552&gt;=0.9,"预警","正常"))</f>
        <v/>
      </c>
      <c r="J552" s="4">
        <f>RANK(F552,$F$4:$F$1203,0)</f>
        <v/>
      </c>
      <c r="K552" s="4" t="inlineStr">
        <is>
          <t>完工</t>
        </is>
      </c>
    </row>
    <row r="553">
      <c r="A553" s="4" t="n">
        <v>550</v>
      </c>
      <c r="B553" s="5" t="inlineStr">
        <is>
          <t>PJ-2026-0550</t>
        </is>
      </c>
      <c r="C553" s="6" t="inlineStr">
        <is>
          <t>解放路公共停车场建设工程（二期）</t>
        </is>
      </c>
      <c r="D553" s="4" t="inlineStr">
        <is>
          <t>吴敏</t>
        </is>
      </c>
      <c r="E553" s="7" t="n">
        <v>1013</v>
      </c>
      <c r="F553" s="7" t="n">
        <v>769.88</v>
      </c>
      <c r="G553" s="7">
        <f>E553-F553</f>
        <v/>
      </c>
      <c r="H553" s="8">
        <f>IFERROR(F553/E553,0)</f>
        <v/>
      </c>
      <c r="I553" s="4">
        <f>IF(H553&gt;=1,"超预算",IF(H553&gt;=0.9,"预警","正常"))</f>
        <v/>
      </c>
      <c r="J553" s="4">
        <f>RANK(F553,$F$4:$F$1203,0)</f>
        <v/>
      </c>
      <c r="K553" s="4" t="inlineStr">
        <is>
          <t>在建</t>
        </is>
      </c>
    </row>
    <row r="554">
      <c r="A554" s="4" t="n">
        <v>551</v>
      </c>
      <c r="B554" s="5" t="inlineStr">
        <is>
          <t>PJ-2026-0551</t>
        </is>
      </c>
      <c r="C554" s="6" t="inlineStr">
        <is>
          <t>和平街道路改造工程（三期）</t>
        </is>
      </c>
      <c r="D554" s="4" t="inlineStr">
        <is>
          <t>徐勇</t>
        </is>
      </c>
      <c r="E554" s="7" t="n">
        <v>1150</v>
      </c>
      <c r="F554" s="7" t="n">
        <v>1207.5</v>
      </c>
      <c r="G554" s="7">
        <f>E554-F554</f>
        <v/>
      </c>
      <c r="H554" s="8">
        <f>IFERROR(F554/E554,0)</f>
        <v/>
      </c>
      <c r="I554" s="4">
        <f>IF(H554&gt;=1,"超预算",IF(H554&gt;=0.9,"预警","正常"))</f>
        <v/>
      </c>
      <c r="J554" s="4">
        <f>RANK(F554,$F$4:$F$1203,0)</f>
        <v/>
      </c>
      <c r="K554" s="4" t="inlineStr">
        <is>
          <t>待启动</t>
        </is>
      </c>
    </row>
    <row r="555">
      <c r="A555" s="4" t="n">
        <v>552</v>
      </c>
      <c r="B555" s="5" t="inlineStr">
        <is>
          <t>PJ-2026-0552</t>
        </is>
      </c>
      <c r="C555" s="6" t="inlineStr">
        <is>
          <t>光明街老旧小区改造项目（四期）</t>
        </is>
      </c>
      <c r="D555" s="4" t="inlineStr">
        <is>
          <t>孙秀</t>
        </is>
      </c>
      <c r="E555" s="7" t="n">
        <v>1287</v>
      </c>
      <c r="F555" s="7" t="n">
        <v>823.6799999999999</v>
      </c>
      <c r="G555" s="7">
        <f>E555-F555</f>
        <v/>
      </c>
      <c r="H555" s="8">
        <f>IFERROR(F555/E555,0)</f>
        <v/>
      </c>
      <c r="I555" s="4">
        <f>IF(H555&gt;=1,"超预算",IF(H555&gt;=0.9,"预警","正常"))</f>
        <v/>
      </c>
      <c r="J555" s="4">
        <f>RANK(F555,$F$4:$F$1203,0)</f>
        <v/>
      </c>
      <c r="K555" s="4" t="inlineStr">
        <is>
          <t>完工</t>
        </is>
      </c>
    </row>
    <row r="556">
      <c r="A556" s="4" t="n">
        <v>553</v>
      </c>
      <c r="B556" s="5" t="inlineStr">
        <is>
          <t>PJ-2026-0553</t>
        </is>
      </c>
      <c r="C556" s="6" t="inlineStr">
        <is>
          <t>城东路智慧园区建设项目</t>
        </is>
      </c>
      <c r="D556" s="4" t="inlineStr">
        <is>
          <t>马伟</t>
        </is>
      </c>
      <c r="E556" s="7" t="n">
        <v>1424</v>
      </c>
      <c r="F556" s="7" t="n">
        <v>1324.32</v>
      </c>
      <c r="G556" s="7">
        <f>E556-F556</f>
        <v/>
      </c>
      <c r="H556" s="8">
        <f>IFERROR(F556/E556,0)</f>
        <v/>
      </c>
      <c r="I556" s="4">
        <f>IF(H556&gt;=1,"超预算",IF(H556&gt;=0.9,"预警","正常"))</f>
        <v/>
      </c>
      <c r="J556" s="4">
        <f>RANK(F556,$F$4:$F$1203,0)</f>
        <v/>
      </c>
      <c r="K556" s="4" t="inlineStr">
        <is>
          <t>在建</t>
        </is>
      </c>
    </row>
    <row r="557">
      <c r="A557" s="4" t="n">
        <v>554</v>
      </c>
      <c r="B557" s="5" t="inlineStr">
        <is>
          <t>PJ-2026-0554</t>
        </is>
      </c>
      <c r="C557" s="6" t="inlineStr">
        <is>
          <t>解放路污水处理扩容工程（二期）</t>
        </is>
      </c>
      <c r="D557" s="4" t="inlineStr">
        <is>
          <t>朱磊</t>
        </is>
      </c>
      <c r="E557" s="7" t="n">
        <v>1561</v>
      </c>
      <c r="F557" s="7" t="n">
        <v>811.72</v>
      </c>
      <c r="G557" s="7">
        <f>E557-F557</f>
        <v/>
      </c>
      <c r="H557" s="8">
        <f>IFERROR(F557/E557,0)</f>
        <v/>
      </c>
      <c r="I557" s="4">
        <f>IF(H557&gt;=1,"超预算",IF(H557&gt;=0.9,"预警","正常"))</f>
        <v/>
      </c>
      <c r="J557" s="4">
        <f>RANK(F557,$F$4:$F$1203,0)</f>
        <v/>
      </c>
      <c r="K557" s="4" t="inlineStr">
        <is>
          <t>待启动</t>
        </is>
      </c>
    </row>
    <row r="558">
      <c r="A558" s="4" t="n">
        <v>555</v>
      </c>
      <c r="B558" s="5" t="inlineStr">
        <is>
          <t>PJ-2026-0555</t>
        </is>
      </c>
      <c r="C558" s="6" t="inlineStr">
        <is>
          <t>和平街供水管网更新工程（三期）</t>
        </is>
      </c>
      <c r="D558" s="4" t="inlineStr">
        <is>
          <t>胡涛</t>
        </is>
      </c>
      <c r="E558" s="7" t="n">
        <v>1698</v>
      </c>
      <c r="F558" s="7" t="n">
        <v>1375.38</v>
      </c>
      <c r="G558" s="7">
        <f>E558-F558</f>
        <v/>
      </c>
      <c r="H558" s="8">
        <f>IFERROR(F558/E558,0)</f>
        <v/>
      </c>
      <c r="I558" s="4">
        <f>IF(H558&gt;=1,"超预算",IF(H558&gt;=0.9,"预警","正常"))</f>
        <v/>
      </c>
      <c r="J558" s="4">
        <f>RANK(F558,$F$4:$F$1203,0)</f>
        <v/>
      </c>
      <c r="K558" s="4" t="inlineStr">
        <is>
          <t>完工</t>
        </is>
      </c>
    </row>
    <row r="559">
      <c r="A559" s="4" t="n">
        <v>556</v>
      </c>
      <c r="B559" s="5" t="inlineStr">
        <is>
          <t>PJ-2026-0556</t>
        </is>
      </c>
      <c r="C559" s="6" t="inlineStr">
        <is>
          <t>光明街河道综合整治工程（四期）</t>
        </is>
      </c>
      <c r="D559" s="4" t="inlineStr">
        <is>
          <t>郭刚</t>
        </is>
      </c>
      <c r="E559" s="7" t="n">
        <v>1835</v>
      </c>
      <c r="F559" s="7" t="n">
        <v>2018.5</v>
      </c>
      <c r="G559" s="7">
        <f>E559-F559</f>
        <v/>
      </c>
      <c r="H559" s="8">
        <f>IFERROR(F559/E559,0)</f>
        <v/>
      </c>
      <c r="I559" s="4">
        <f>IF(H559&gt;=1,"超预算",IF(H559&gt;=0.9,"预警","正常"))</f>
        <v/>
      </c>
      <c r="J559" s="4">
        <f>RANK(F559,$F$4:$F$1203,0)</f>
        <v/>
      </c>
      <c r="K559" s="4" t="inlineStr">
        <is>
          <t>在建</t>
        </is>
      </c>
    </row>
    <row r="560">
      <c r="A560" s="4" t="n">
        <v>557</v>
      </c>
      <c r="B560" s="5" t="inlineStr">
        <is>
          <t>PJ-2026-0557</t>
        </is>
      </c>
      <c r="C560" s="6" t="inlineStr">
        <is>
          <t>城东路学校新建工程</t>
        </is>
      </c>
      <c r="D560" s="4" t="inlineStr">
        <is>
          <t>何静</t>
        </is>
      </c>
      <c r="E560" s="7" t="n">
        <v>1972</v>
      </c>
      <c r="F560" s="7" t="n">
        <v>1360.68</v>
      </c>
      <c r="G560" s="7">
        <f>E560-F560</f>
        <v/>
      </c>
      <c r="H560" s="8">
        <f>IFERROR(F560/E560,0)</f>
        <v/>
      </c>
      <c r="I560" s="4">
        <f>IF(H560&gt;=1,"超预算",IF(H560&gt;=0.9,"预警","正常"))</f>
        <v/>
      </c>
      <c r="J560" s="4">
        <f>RANK(F560,$F$4:$F$1203,0)</f>
        <v/>
      </c>
      <c r="K560" s="4" t="inlineStr">
        <is>
          <t>待启动</t>
        </is>
      </c>
    </row>
    <row r="561">
      <c r="A561" s="4" t="n">
        <v>558</v>
      </c>
      <c r="B561" s="5" t="inlineStr">
        <is>
          <t>PJ-2026-0558</t>
        </is>
      </c>
      <c r="C561" s="6" t="inlineStr">
        <is>
          <t>解放路医院改扩建项目（二期）</t>
        </is>
      </c>
      <c r="D561" s="4" t="inlineStr">
        <is>
          <t>高艳</t>
        </is>
      </c>
      <c r="E561" s="7" t="n">
        <v>2109</v>
      </c>
      <c r="F561" s="7" t="n">
        <v>2066.82</v>
      </c>
      <c r="G561" s="7">
        <f>E561-F561</f>
        <v/>
      </c>
      <c r="H561" s="8">
        <f>IFERROR(F561/E561,0)</f>
        <v/>
      </c>
      <c r="I561" s="4">
        <f>IF(H561&gt;=1,"超预算",IF(H561&gt;=0.9,"预警","正常"))</f>
        <v/>
      </c>
      <c r="J561" s="4">
        <f>RANK(F561,$F$4:$F$1203,0)</f>
        <v/>
      </c>
      <c r="K561" s="4" t="inlineStr">
        <is>
          <t>完工</t>
        </is>
      </c>
    </row>
    <row r="562">
      <c r="A562" s="4" t="n">
        <v>559</v>
      </c>
      <c r="B562" s="5" t="inlineStr">
        <is>
          <t>PJ-2026-0559</t>
        </is>
      </c>
      <c r="C562" s="6" t="inlineStr">
        <is>
          <t>和平街公交枢纽建设工程（三期）</t>
        </is>
      </c>
      <c r="D562" s="4" t="inlineStr">
        <is>
          <t>林英</t>
        </is>
      </c>
      <c r="E562" s="7" t="n">
        <v>2246</v>
      </c>
      <c r="F562" s="7" t="n">
        <v>1280.22</v>
      </c>
      <c r="G562" s="7">
        <f>E562-F562</f>
        <v/>
      </c>
      <c r="H562" s="8">
        <f>IFERROR(F562/E562,0)</f>
        <v/>
      </c>
      <c r="I562" s="4">
        <f>IF(H562&gt;=1,"超预算",IF(H562&gt;=0.9,"预警","正常"))</f>
        <v/>
      </c>
      <c r="J562" s="4">
        <f>RANK(F562,$F$4:$F$1203,0)</f>
        <v/>
      </c>
      <c r="K562" s="4" t="inlineStr">
        <is>
          <t>在建</t>
        </is>
      </c>
    </row>
    <row r="563">
      <c r="A563" s="4" t="n">
        <v>560</v>
      </c>
      <c r="B563" s="5" t="inlineStr">
        <is>
          <t>PJ-2026-0560</t>
        </is>
      </c>
      <c r="C563" s="6" t="inlineStr">
        <is>
          <t>光明街公共停车场建设工程（四期）</t>
        </is>
      </c>
      <c r="D563" s="4" t="inlineStr">
        <is>
          <t>罗芳</t>
        </is>
      </c>
      <c r="E563" s="7" t="n">
        <v>2383</v>
      </c>
      <c r="F563" s="7" t="n">
        <v>2049.38</v>
      </c>
      <c r="G563" s="7">
        <f>E563-F563</f>
        <v/>
      </c>
      <c r="H563" s="8">
        <f>IFERROR(F563/E563,0)</f>
        <v/>
      </c>
      <c r="I563" s="4">
        <f>IF(H563&gt;=1,"超预算",IF(H563&gt;=0.9,"预警","正常"))</f>
        <v/>
      </c>
      <c r="J563" s="4">
        <f>RANK(F563,$F$4:$F$1203,0)</f>
        <v/>
      </c>
      <c r="K563" s="4" t="inlineStr">
        <is>
          <t>待启动</t>
        </is>
      </c>
    </row>
    <row r="564">
      <c r="A564" s="4" t="n">
        <v>561</v>
      </c>
      <c r="B564" s="5" t="inlineStr">
        <is>
          <t>PJ-2026-0561</t>
        </is>
      </c>
      <c r="C564" s="6" t="inlineStr">
        <is>
          <t>城东路道路改造工程</t>
        </is>
      </c>
      <c r="D564" s="4" t="inlineStr">
        <is>
          <t>张军</t>
        </is>
      </c>
      <c r="E564" s="7" t="n">
        <v>2520</v>
      </c>
      <c r="F564" s="7" t="n">
        <v>1134</v>
      </c>
      <c r="G564" s="7">
        <f>E564-F564</f>
        <v/>
      </c>
      <c r="H564" s="8">
        <f>IFERROR(F564/E564,0)</f>
        <v/>
      </c>
      <c r="I564" s="4">
        <f>IF(H564&gt;=1,"超预算",IF(H564&gt;=0.9,"预警","正常"))</f>
        <v/>
      </c>
      <c r="J564" s="4">
        <f>RANK(F564,$F$4:$F$1203,0)</f>
        <v/>
      </c>
      <c r="K564" s="4" t="inlineStr">
        <is>
          <t>完工</t>
        </is>
      </c>
    </row>
    <row r="565">
      <c r="A565" s="4" t="n">
        <v>562</v>
      </c>
      <c r="B565" s="5" t="inlineStr">
        <is>
          <t>PJ-2026-0562</t>
        </is>
      </c>
      <c r="C565" s="6" t="inlineStr">
        <is>
          <t>解放路老旧小区改造项目（二期）</t>
        </is>
      </c>
      <c r="D565" s="4" t="inlineStr">
        <is>
          <t>王明</t>
        </is>
      </c>
      <c r="E565" s="7" t="n">
        <v>2657</v>
      </c>
      <c r="F565" s="7" t="n">
        <v>1966.18</v>
      </c>
      <c r="G565" s="7">
        <f>E565-F565</f>
        <v/>
      </c>
      <c r="H565" s="8">
        <f>IFERROR(F565/E565,0)</f>
        <v/>
      </c>
      <c r="I565" s="4">
        <f>IF(H565&gt;=1,"超预算",IF(H565&gt;=0.9,"预警","正常"))</f>
        <v/>
      </c>
      <c r="J565" s="4">
        <f>RANK(F565,$F$4:$F$1203,0)</f>
        <v/>
      </c>
      <c r="K565" s="4" t="inlineStr">
        <is>
          <t>在建</t>
        </is>
      </c>
    </row>
    <row r="566">
      <c r="A566" s="4" t="n">
        <v>563</v>
      </c>
      <c r="B566" s="5" t="inlineStr">
        <is>
          <t>PJ-2026-0563</t>
        </is>
      </c>
      <c r="C566" s="6" t="inlineStr">
        <is>
          <t>和平街智慧园区建设项目（三期）</t>
        </is>
      </c>
      <c r="D566" s="4" t="inlineStr">
        <is>
          <t>李桂</t>
        </is>
      </c>
      <c r="E566" s="7" t="n">
        <v>2794</v>
      </c>
      <c r="F566" s="7" t="n">
        <v>2877.82</v>
      </c>
      <c r="G566" s="7">
        <f>E566-F566</f>
        <v/>
      </c>
      <c r="H566" s="8">
        <f>IFERROR(F566/E566,0)</f>
        <v/>
      </c>
      <c r="I566" s="4">
        <f>IF(H566&gt;=1,"超预算",IF(H566&gt;=0.9,"预警","正常"))</f>
        <v/>
      </c>
      <c r="J566" s="4">
        <f>RANK(F566,$F$4:$F$1203,0)</f>
        <v/>
      </c>
      <c r="K566" s="4" t="inlineStr">
        <is>
          <t>待启动</t>
        </is>
      </c>
    </row>
    <row r="567">
      <c r="A567" s="4" t="n">
        <v>564</v>
      </c>
      <c r="B567" s="5" t="inlineStr">
        <is>
          <t>PJ-2026-0564</t>
        </is>
      </c>
      <c r="C567" s="6" t="inlineStr">
        <is>
          <t>光明街污水处理扩容工程（四期）</t>
        </is>
      </c>
      <c r="D567" s="4" t="inlineStr">
        <is>
          <t>赵丽</t>
        </is>
      </c>
      <c r="E567" s="7" t="n">
        <v>2931</v>
      </c>
      <c r="F567" s="7" t="n">
        <v>1817.22</v>
      </c>
      <c r="G567" s="7">
        <f>E567-F567</f>
        <v/>
      </c>
      <c r="H567" s="8">
        <f>IFERROR(F567/E567,0)</f>
        <v/>
      </c>
      <c r="I567" s="4">
        <f>IF(H567&gt;=1,"超预算",IF(H567&gt;=0.9,"预警","正常"))</f>
        <v/>
      </c>
      <c r="J567" s="4">
        <f>RANK(F567,$F$4:$F$1203,0)</f>
        <v/>
      </c>
      <c r="K567" s="4" t="inlineStr">
        <is>
          <t>完工</t>
        </is>
      </c>
    </row>
    <row r="568">
      <c r="A568" s="4" t="n">
        <v>565</v>
      </c>
      <c r="B568" s="5" t="inlineStr">
        <is>
          <t>PJ-2026-0565</t>
        </is>
      </c>
      <c r="C568" s="6" t="inlineStr">
        <is>
          <t>城东路供水管网更新工程</t>
        </is>
      </c>
      <c r="D568" s="4" t="inlineStr">
        <is>
          <t>刘杰</t>
        </is>
      </c>
      <c r="E568" s="7" t="n">
        <v>3068</v>
      </c>
      <c r="F568" s="7" t="n">
        <v>2791.88</v>
      </c>
      <c r="G568" s="7">
        <f>E568-F568</f>
        <v/>
      </c>
      <c r="H568" s="8">
        <f>IFERROR(F568/E568,0)</f>
        <v/>
      </c>
      <c r="I568" s="4">
        <f>IF(H568&gt;=1,"超预算",IF(H568&gt;=0.9,"预警","正常"))</f>
        <v/>
      </c>
      <c r="J568" s="4">
        <f>RANK(F568,$F$4:$F$1203,0)</f>
        <v/>
      </c>
      <c r="K568" s="4" t="inlineStr">
        <is>
          <t>在建</t>
        </is>
      </c>
    </row>
    <row r="569">
      <c r="A569" s="4" t="n">
        <v>566</v>
      </c>
      <c r="B569" s="5" t="inlineStr">
        <is>
          <t>PJ-2026-0566</t>
        </is>
      </c>
      <c r="C569" s="6" t="inlineStr">
        <is>
          <t>解放路河道综合整治工程（二期）</t>
        </is>
      </c>
      <c r="D569" s="4" t="inlineStr">
        <is>
          <t>陈霞</t>
        </is>
      </c>
      <c r="E569" s="7" t="n">
        <v>3205</v>
      </c>
      <c r="F569" s="7" t="n">
        <v>1602.5</v>
      </c>
      <c r="G569" s="7">
        <f>E569-F569</f>
        <v/>
      </c>
      <c r="H569" s="8">
        <f>IFERROR(F569/E569,0)</f>
        <v/>
      </c>
      <c r="I569" s="4">
        <f>IF(H569&gt;=1,"超预算",IF(H569&gt;=0.9,"预警","正常"))</f>
        <v/>
      </c>
      <c r="J569" s="4">
        <f>RANK(F569,$F$4:$F$1203,0)</f>
        <v/>
      </c>
      <c r="K569" s="4" t="inlineStr">
        <is>
          <t>待启动</t>
        </is>
      </c>
    </row>
    <row r="570">
      <c r="A570" s="4" t="n">
        <v>567</v>
      </c>
      <c r="B570" s="5" t="inlineStr">
        <is>
          <t>PJ-2026-0567</t>
        </is>
      </c>
      <c r="C570" s="6" t="inlineStr">
        <is>
          <t>和平街学校新建工程（三期）</t>
        </is>
      </c>
      <c r="D570" s="4" t="inlineStr">
        <is>
          <t>杨娜</t>
        </is>
      </c>
      <c r="E570" s="7" t="n">
        <v>3342</v>
      </c>
      <c r="F570" s="7" t="n">
        <v>2640.18</v>
      </c>
      <c r="G570" s="7">
        <f>E570-F570</f>
        <v/>
      </c>
      <c r="H570" s="8">
        <f>IFERROR(F570/E570,0)</f>
        <v/>
      </c>
      <c r="I570" s="4">
        <f>IF(H570&gt;=1,"超预算",IF(H570&gt;=0.9,"预警","正常"))</f>
        <v/>
      </c>
      <c r="J570" s="4">
        <f>RANK(F570,$F$4:$F$1203,0)</f>
        <v/>
      </c>
      <c r="K570" s="4" t="inlineStr">
        <is>
          <t>完工</t>
        </is>
      </c>
    </row>
    <row r="571">
      <c r="A571" s="4" t="n">
        <v>568</v>
      </c>
      <c r="B571" s="5" t="inlineStr">
        <is>
          <t>PJ-2026-0568</t>
        </is>
      </c>
      <c r="C571" s="6" t="inlineStr">
        <is>
          <t>光明街医院改扩建项目（四期）</t>
        </is>
      </c>
      <c r="D571" s="4" t="inlineStr">
        <is>
          <t>黄洋</t>
        </is>
      </c>
      <c r="E571" s="7" t="n">
        <v>3479</v>
      </c>
      <c r="F571" s="7" t="n">
        <v>3757.32</v>
      </c>
      <c r="G571" s="7">
        <f>E571-F571</f>
        <v/>
      </c>
      <c r="H571" s="8">
        <f>IFERROR(F571/E571,0)</f>
        <v/>
      </c>
      <c r="I571" s="4">
        <f>IF(H571&gt;=1,"超预算",IF(H571&gt;=0.9,"预警","正常"))</f>
        <v/>
      </c>
      <c r="J571" s="4">
        <f>RANK(F571,$F$4:$F$1203,0)</f>
        <v/>
      </c>
      <c r="K571" s="4" t="inlineStr">
        <is>
          <t>在建</t>
        </is>
      </c>
    </row>
    <row r="572">
      <c r="A572" s="4" t="n">
        <v>569</v>
      </c>
      <c r="B572" s="5" t="inlineStr">
        <is>
          <t>PJ-2026-0569</t>
        </is>
      </c>
      <c r="C572" s="6" t="inlineStr">
        <is>
          <t>城东路公交枢纽建设工程</t>
        </is>
      </c>
      <c r="D572" s="4" t="inlineStr">
        <is>
          <t>周超</t>
        </is>
      </c>
      <c r="E572" s="7" t="n">
        <v>3616</v>
      </c>
      <c r="F572" s="7" t="n">
        <v>2422.72</v>
      </c>
      <c r="G572" s="7">
        <f>E572-F572</f>
        <v/>
      </c>
      <c r="H572" s="8">
        <f>IFERROR(F572/E572,0)</f>
        <v/>
      </c>
      <c r="I572" s="4">
        <f>IF(H572&gt;=1,"超预算",IF(H572&gt;=0.9,"预警","正常"))</f>
        <v/>
      </c>
      <c r="J572" s="4">
        <f>RANK(F572,$F$4:$F$1203,0)</f>
        <v/>
      </c>
      <c r="K572" s="4" t="inlineStr">
        <is>
          <t>待启动</t>
        </is>
      </c>
    </row>
    <row r="573">
      <c r="A573" s="4" t="n">
        <v>570</v>
      </c>
      <c r="B573" s="5" t="inlineStr">
        <is>
          <t>PJ-2026-0570</t>
        </is>
      </c>
      <c r="C573" s="6" t="inlineStr">
        <is>
          <t>解放路公共停车场建设工程（二期）</t>
        </is>
      </c>
      <c r="D573" s="4" t="inlineStr">
        <is>
          <t>吴英</t>
        </is>
      </c>
      <c r="E573" s="7" t="n">
        <v>3753</v>
      </c>
      <c r="F573" s="7" t="n">
        <v>3602.88</v>
      </c>
      <c r="G573" s="7">
        <f>E573-F573</f>
        <v/>
      </c>
      <c r="H573" s="8">
        <f>IFERROR(F573/E573,0)</f>
        <v/>
      </c>
      <c r="I573" s="4">
        <f>IF(H573&gt;=1,"超预算",IF(H573&gt;=0.9,"预警","正常"))</f>
        <v/>
      </c>
      <c r="J573" s="4">
        <f>RANK(F573,$F$4:$F$1203,0)</f>
        <v/>
      </c>
      <c r="K573" s="4" t="inlineStr">
        <is>
          <t>完工</t>
        </is>
      </c>
    </row>
    <row r="574">
      <c r="A574" s="4" t="n">
        <v>571</v>
      </c>
      <c r="B574" s="5" t="inlineStr">
        <is>
          <t>PJ-2026-0571</t>
        </is>
      </c>
      <c r="C574" s="6" t="inlineStr">
        <is>
          <t>和平街道路改造工程（三期）</t>
        </is>
      </c>
      <c r="D574" s="4" t="inlineStr">
        <is>
          <t>徐强</t>
        </is>
      </c>
      <c r="E574" s="7" t="n">
        <v>3890</v>
      </c>
      <c r="F574" s="7" t="n">
        <v>2139.5</v>
      </c>
      <c r="G574" s="7">
        <f>E574-F574</f>
        <v/>
      </c>
      <c r="H574" s="8">
        <f>IFERROR(F574/E574,0)</f>
        <v/>
      </c>
      <c r="I574" s="4">
        <f>IF(H574&gt;=1,"超预算",IF(H574&gt;=0.9,"预警","正常"))</f>
        <v/>
      </c>
      <c r="J574" s="4">
        <f>RANK(F574,$F$4:$F$1203,0)</f>
        <v/>
      </c>
      <c r="K574" s="4" t="inlineStr">
        <is>
          <t>在建</t>
        </is>
      </c>
    </row>
    <row r="575">
      <c r="A575" s="4" t="n">
        <v>572</v>
      </c>
      <c r="B575" s="5" t="inlineStr">
        <is>
          <t>PJ-2026-0572</t>
        </is>
      </c>
      <c r="C575" s="6" t="inlineStr">
        <is>
          <t>光明街老旧小区改造项目（四期）</t>
        </is>
      </c>
      <c r="D575" s="4" t="inlineStr">
        <is>
          <t>孙娟</t>
        </is>
      </c>
      <c r="E575" s="7" t="n">
        <v>4027</v>
      </c>
      <c r="F575" s="7" t="n">
        <v>3382.68</v>
      </c>
      <c r="G575" s="7">
        <f>E575-F575</f>
        <v/>
      </c>
      <c r="H575" s="8">
        <f>IFERROR(F575/E575,0)</f>
        <v/>
      </c>
      <c r="I575" s="4">
        <f>IF(H575&gt;=1,"超预算",IF(H575&gt;=0.9,"预警","正常"))</f>
        <v/>
      </c>
      <c r="J575" s="4">
        <f>RANK(F575,$F$4:$F$1203,0)</f>
        <v/>
      </c>
      <c r="K575" s="4" t="inlineStr">
        <is>
          <t>待启动</t>
        </is>
      </c>
    </row>
    <row r="576">
      <c r="A576" s="4" t="n">
        <v>573</v>
      </c>
      <c r="B576" s="5" t="inlineStr">
        <is>
          <t>PJ-2026-0573</t>
        </is>
      </c>
      <c r="C576" s="6" t="inlineStr">
        <is>
          <t>城东路智慧园区建设项目</t>
        </is>
      </c>
      <c r="D576" s="4" t="inlineStr">
        <is>
          <t>马平</t>
        </is>
      </c>
      <c r="E576" s="7" t="n">
        <v>4164</v>
      </c>
      <c r="F576" s="7" t="n">
        <v>4705.32</v>
      </c>
      <c r="G576" s="7">
        <f>E576-F576</f>
        <v/>
      </c>
      <c r="H576" s="8">
        <f>IFERROR(F576/E576,0)</f>
        <v/>
      </c>
      <c r="I576" s="4">
        <f>IF(H576&gt;=1,"超预算",IF(H576&gt;=0.9,"预警","正常"))</f>
        <v/>
      </c>
      <c r="J576" s="4">
        <f>RANK(F576,$F$4:$F$1203,0)</f>
        <v/>
      </c>
      <c r="K576" s="4" t="inlineStr">
        <is>
          <t>完工</t>
        </is>
      </c>
    </row>
    <row r="577">
      <c r="A577" s="4" t="n">
        <v>574</v>
      </c>
      <c r="B577" s="5" t="inlineStr">
        <is>
          <t>PJ-2026-0574</t>
        </is>
      </c>
      <c r="C577" s="6" t="inlineStr">
        <is>
          <t>解放路污水处理扩容工程（二期）</t>
        </is>
      </c>
      <c r="D577" s="4" t="inlineStr">
        <is>
          <t>朱敏</t>
        </is>
      </c>
      <c r="E577" s="7" t="n">
        <v>4301</v>
      </c>
      <c r="F577" s="7" t="n">
        <v>3096.72</v>
      </c>
      <c r="G577" s="7">
        <f>E577-F577</f>
        <v/>
      </c>
      <c r="H577" s="8">
        <f>IFERROR(F577/E577,0)</f>
        <v/>
      </c>
      <c r="I577" s="4">
        <f>IF(H577&gt;=1,"超预算",IF(H577&gt;=0.9,"预警","正常"))</f>
        <v/>
      </c>
      <c r="J577" s="4">
        <f>RANK(F577,$F$4:$F$1203,0)</f>
        <v/>
      </c>
      <c r="K577" s="4" t="inlineStr">
        <is>
          <t>在建</t>
        </is>
      </c>
    </row>
    <row r="578">
      <c r="A578" s="4" t="n">
        <v>575</v>
      </c>
      <c r="B578" s="5" t="inlineStr">
        <is>
          <t>PJ-2026-0575</t>
        </is>
      </c>
      <c r="C578" s="6" t="inlineStr">
        <is>
          <t>和平街供水管网更新工程（三期）</t>
        </is>
      </c>
      <c r="D578" s="4" t="inlineStr">
        <is>
          <t>胡勇</t>
        </is>
      </c>
      <c r="E578" s="7" t="n">
        <v>4438</v>
      </c>
      <c r="F578" s="7" t="n">
        <v>4482.38</v>
      </c>
      <c r="G578" s="7">
        <f>E578-F578</f>
        <v/>
      </c>
      <c r="H578" s="8">
        <f>IFERROR(F578/E578,0)</f>
        <v/>
      </c>
      <c r="I578" s="4">
        <f>IF(H578&gt;=1,"超预算",IF(H578&gt;=0.9,"预警","正常"))</f>
        <v/>
      </c>
      <c r="J578" s="4">
        <f>RANK(F578,$F$4:$F$1203,0)</f>
        <v/>
      </c>
      <c r="K578" s="4" t="inlineStr">
        <is>
          <t>待启动</t>
        </is>
      </c>
    </row>
    <row r="579">
      <c r="A579" s="4" t="n">
        <v>576</v>
      </c>
      <c r="B579" s="5" t="inlineStr">
        <is>
          <t>PJ-2026-0576</t>
        </is>
      </c>
      <c r="C579" s="6" t="inlineStr">
        <is>
          <t>光明街河道综合整治工程（四期）</t>
        </is>
      </c>
      <c r="D579" s="4" t="inlineStr">
        <is>
          <t>郭秀</t>
        </is>
      </c>
      <c r="E579" s="7" t="n">
        <v>4575</v>
      </c>
      <c r="F579" s="7" t="n">
        <v>2745</v>
      </c>
      <c r="G579" s="7">
        <f>E579-F579</f>
        <v/>
      </c>
      <c r="H579" s="8">
        <f>IFERROR(F579/E579,0)</f>
        <v/>
      </c>
      <c r="I579" s="4">
        <f>IF(H579&gt;=1,"超预算",IF(H579&gt;=0.9,"预警","正常"))</f>
        <v/>
      </c>
      <c r="J579" s="4">
        <f>RANK(F579,$F$4:$F$1203,0)</f>
        <v/>
      </c>
      <c r="K579" s="4" t="inlineStr">
        <is>
          <t>完工</t>
        </is>
      </c>
    </row>
    <row r="580">
      <c r="A580" s="4" t="n">
        <v>577</v>
      </c>
      <c r="B580" s="5" t="inlineStr">
        <is>
          <t>PJ-2026-0577</t>
        </is>
      </c>
      <c r="C580" s="6" t="inlineStr">
        <is>
          <t>城东路学校新建工程</t>
        </is>
      </c>
      <c r="D580" s="4" t="inlineStr">
        <is>
          <t>何伟</t>
        </is>
      </c>
      <c r="E580" s="7" t="n">
        <v>4712</v>
      </c>
      <c r="F580" s="7" t="n">
        <v>4193.68</v>
      </c>
      <c r="G580" s="7">
        <f>E580-F580</f>
        <v/>
      </c>
      <c r="H580" s="8">
        <f>IFERROR(F580/E580,0)</f>
        <v/>
      </c>
      <c r="I580" s="4">
        <f>IF(H580&gt;=1,"超预算",IF(H580&gt;=0.9,"预警","正常"))</f>
        <v/>
      </c>
      <c r="J580" s="4">
        <f>RANK(F580,$F$4:$F$1203,0)</f>
        <v/>
      </c>
      <c r="K580" s="4" t="inlineStr">
        <is>
          <t>在建</t>
        </is>
      </c>
    </row>
    <row r="581">
      <c r="A581" s="4" t="n">
        <v>578</v>
      </c>
      <c r="B581" s="5" t="inlineStr">
        <is>
          <t>PJ-2026-0578</t>
        </is>
      </c>
      <c r="C581" s="6" t="inlineStr">
        <is>
          <t>解放路医院改扩建项目（二期）</t>
        </is>
      </c>
      <c r="D581" s="4" t="inlineStr">
        <is>
          <t>高磊</t>
        </is>
      </c>
      <c r="E581" s="7" t="n">
        <v>4849</v>
      </c>
      <c r="F581" s="7" t="n">
        <v>2327.52</v>
      </c>
      <c r="G581" s="7">
        <f>E581-F581</f>
        <v/>
      </c>
      <c r="H581" s="8">
        <f>IFERROR(F581/E581,0)</f>
        <v/>
      </c>
      <c r="I581" s="4">
        <f>IF(H581&gt;=1,"超预算",IF(H581&gt;=0.9,"预警","正常"))</f>
        <v/>
      </c>
      <c r="J581" s="4">
        <f>RANK(F581,$F$4:$F$1203,0)</f>
        <v/>
      </c>
      <c r="K581" s="4" t="inlineStr">
        <is>
          <t>待启动</t>
        </is>
      </c>
    </row>
    <row r="582">
      <c r="A582" s="4" t="n">
        <v>579</v>
      </c>
      <c r="B582" s="5" t="inlineStr">
        <is>
          <t>PJ-2026-0579</t>
        </is>
      </c>
      <c r="C582" s="6" t="inlineStr">
        <is>
          <t>和平街公交枢纽建设工程（三期）</t>
        </is>
      </c>
      <c r="D582" s="4" t="inlineStr">
        <is>
          <t>林涛</t>
        </is>
      </c>
      <c r="E582" s="7" t="n">
        <v>4986</v>
      </c>
      <c r="F582" s="7" t="n">
        <v>3839.22</v>
      </c>
      <c r="G582" s="7">
        <f>E582-F582</f>
        <v/>
      </c>
      <c r="H582" s="8">
        <f>IFERROR(F582/E582,0)</f>
        <v/>
      </c>
      <c r="I582" s="4">
        <f>IF(H582&gt;=1,"超预算",IF(H582&gt;=0.9,"预警","正常"))</f>
        <v/>
      </c>
      <c r="J582" s="4">
        <f>RANK(F582,$F$4:$F$1203,0)</f>
        <v/>
      </c>
      <c r="K582" s="4" t="inlineStr">
        <is>
          <t>完工</t>
        </is>
      </c>
    </row>
    <row r="583">
      <c r="A583" s="4" t="n">
        <v>580</v>
      </c>
      <c r="B583" s="5" t="inlineStr">
        <is>
          <t>PJ-2026-0580</t>
        </is>
      </c>
      <c r="C583" s="6" t="inlineStr">
        <is>
          <t>光明街公共停车场建设工程（四期）</t>
        </is>
      </c>
      <c r="D583" s="4" t="inlineStr">
        <is>
          <t>罗刚</t>
        </is>
      </c>
      <c r="E583" s="7" t="n">
        <v>173</v>
      </c>
      <c r="F583" s="7" t="n">
        <v>183.38</v>
      </c>
      <c r="G583" s="7">
        <f>E583-F583</f>
        <v/>
      </c>
      <c r="H583" s="8">
        <f>IFERROR(F583/E583,0)</f>
        <v/>
      </c>
      <c r="I583" s="4">
        <f>IF(H583&gt;=1,"超预算",IF(H583&gt;=0.9,"预警","正常"))</f>
        <v/>
      </c>
      <c r="J583" s="4">
        <f>RANK(F583,$F$4:$F$1203,0)</f>
        <v/>
      </c>
      <c r="K583" s="4" t="inlineStr">
        <is>
          <t>在建</t>
        </is>
      </c>
    </row>
    <row r="584">
      <c r="A584" s="4" t="n">
        <v>581</v>
      </c>
      <c r="B584" s="5" t="inlineStr">
        <is>
          <t>PJ-2026-0581</t>
        </is>
      </c>
      <c r="C584" s="6" t="inlineStr">
        <is>
          <t>城东路道路改造工程</t>
        </is>
      </c>
      <c r="D584" s="4" t="inlineStr">
        <is>
          <t>张静</t>
        </is>
      </c>
      <c r="E584" s="7" t="n">
        <v>310</v>
      </c>
      <c r="F584" s="7" t="n">
        <v>201.5</v>
      </c>
      <c r="G584" s="7">
        <f>E584-F584</f>
        <v/>
      </c>
      <c r="H584" s="8">
        <f>IFERROR(F584/E584,0)</f>
        <v/>
      </c>
      <c r="I584" s="4">
        <f>IF(H584&gt;=1,"超预算",IF(H584&gt;=0.9,"预警","正常"))</f>
        <v/>
      </c>
      <c r="J584" s="4">
        <f>RANK(F584,$F$4:$F$1203,0)</f>
        <v/>
      </c>
      <c r="K584" s="4" t="inlineStr">
        <is>
          <t>待启动</t>
        </is>
      </c>
    </row>
    <row r="585">
      <c r="A585" s="4" t="n">
        <v>582</v>
      </c>
      <c r="B585" s="5" t="inlineStr">
        <is>
          <t>PJ-2026-0582</t>
        </is>
      </c>
      <c r="C585" s="6" t="inlineStr">
        <is>
          <t>解放路老旧小区改造项目（二期）</t>
        </is>
      </c>
      <c r="D585" s="4" t="inlineStr">
        <is>
          <t>王艳</t>
        </is>
      </c>
      <c r="E585" s="7" t="n">
        <v>447</v>
      </c>
      <c r="F585" s="7" t="n">
        <v>420.18</v>
      </c>
      <c r="G585" s="7">
        <f>E585-F585</f>
        <v/>
      </c>
      <c r="H585" s="8">
        <f>IFERROR(F585/E585,0)</f>
        <v/>
      </c>
      <c r="I585" s="4">
        <f>IF(H585&gt;=1,"超预算",IF(H585&gt;=0.9,"预警","正常"))</f>
        <v/>
      </c>
      <c r="J585" s="4">
        <f>RANK(F585,$F$4:$F$1203,0)</f>
        <v/>
      </c>
      <c r="K585" s="4" t="inlineStr">
        <is>
          <t>完工</t>
        </is>
      </c>
    </row>
    <row r="586">
      <c r="A586" s="4" t="n">
        <v>583</v>
      </c>
      <c r="B586" s="5" t="inlineStr">
        <is>
          <t>PJ-2026-0583</t>
        </is>
      </c>
      <c r="C586" s="6" t="inlineStr">
        <is>
          <t>和平街智慧园区建设项目（三期）</t>
        </is>
      </c>
      <c r="D586" s="4" t="inlineStr">
        <is>
          <t>李英</t>
        </is>
      </c>
      <c r="E586" s="7" t="n">
        <v>584</v>
      </c>
      <c r="F586" s="7" t="n">
        <v>309.52</v>
      </c>
      <c r="G586" s="7">
        <f>E586-F586</f>
        <v/>
      </c>
      <c r="H586" s="8">
        <f>IFERROR(F586/E586,0)</f>
        <v/>
      </c>
      <c r="I586" s="4">
        <f>IF(H586&gt;=1,"超预算",IF(H586&gt;=0.9,"预警","正常"))</f>
        <v/>
      </c>
      <c r="J586" s="4">
        <f>RANK(F586,$F$4:$F$1203,0)</f>
        <v/>
      </c>
      <c r="K586" s="4" t="inlineStr">
        <is>
          <t>在建</t>
        </is>
      </c>
    </row>
    <row r="587">
      <c r="A587" s="4" t="n">
        <v>584</v>
      </c>
      <c r="B587" s="5" t="inlineStr">
        <is>
          <t>PJ-2026-0584</t>
        </is>
      </c>
      <c r="C587" s="6" t="inlineStr">
        <is>
          <t>光明街污水处理扩容工程（四期）</t>
        </is>
      </c>
      <c r="D587" s="4" t="inlineStr">
        <is>
          <t>赵芳</t>
        </is>
      </c>
      <c r="E587" s="7" t="n">
        <v>721</v>
      </c>
      <c r="F587" s="7" t="n">
        <v>591.22</v>
      </c>
      <c r="G587" s="7">
        <f>E587-F587</f>
        <v/>
      </c>
      <c r="H587" s="8">
        <f>IFERROR(F587/E587,0)</f>
        <v/>
      </c>
      <c r="I587" s="4">
        <f>IF(H587&gt;=1,"超预算",IF(H587&gt;=0.9,"预警","正常"))</f>
        <v/>
      </c>
      <c r="J587" s="4">
        <f>RANK(F587,$F$4:$F$1203,0)</f>
        <v/>
      </c>
      <c r="K587" s="4" t="inlineStr">
        <is>
          <t>待启动</t>
        </is>
      </c>
    </row>
    <row r="588">
      <c r="A588" s="4" t="n">
        <v>585</v>
      </c>
      <c r="B588" s="5" t="inlineStr">
        <is>
          <t>PJ-2026-0585</t>
        </is>
      </c>
      <c r="C588" s="6" t="inlineStr">
        <is>
          <t>城东路供水管网更新工程</t>
        </is>
      </c>
      <c r="D588" s="4" t="inlineStr">
        <is>
          <t>刘军</t>
        </is>
      </c>
      <c r="E588" s="7" t="n">
        <v>858</v>
      </c>
      <c r="F588" s="7" t="n">
        <v>952.38</v>
      </c>
      <c r="G588" s="7">
        <f>E588-F588</f>
        <v/>
      </c>
      <c r="H588" s="8">
        <f>IFERROR(F588/E588,0)</f>
        <v/>
      </c>
      <c r="I588" s="4">
        <f>IF(H588&gt;=1,"超预算",IF(H588&gt;=0.9,"预警","正常"))</f>
        <v/>
      </c>
      <c r="J588" s="4">
        <f>RANK(F588,$F$4:$F$1203,0)</f>
        <v/>
      </c>
      <c r="K588" s="4" t="inlineStr">
        <is>
          <t>完工</t>
        </is>
      </c>
    </row>
    <row r="589">
      <c r="A589" s="4" t="n">
        <v>586</v>
      </c>
      <c r="B589" s="5" t="inlineStr">
        <is>
          <t>PJ-2026-0586</t>
        </is>
      </c>
      <c r="C589" s="6" t="inlineStr">
        <is>
          <t>解放路河道综合整治工程（二期）</t>
        </is>
      </c>
      <c r="D589" s="4" t="inlineStr">
        <is>
          <t>陈明</t>
        </is>
      </c>
      <c r="E589" s="7" t="n">
        <v>995</v>
      </c>
      <c r="F589" s="7" t="n">
        <v>696.5</v>
      </c>
      <c r="G589" s="7">
        <f>E589-F589</f>
        <v/>
      </c>
      <c r="H589" s="8">
        <f>IFERROR(F589/E589,0)</f>
        <v/>
      </c>
      <c r="I589" s="4">
        <f>IF(H589&gt;=1,"超预算",IF(H589&gt;=0.9,"预警","正常"))</f>
        <v/>
      </c>
      <c r="J589" s="4">
        <f>RANK(F589,$F$4:$F$1203,0)</f>
        <v/>
      </c>
      <c r="K589" s="4" t="inlineStr">
        <is>
          <t>在建</t>
        </is>
      </c>
    </row>
    <row r="590">
      <c r="A590" s="4" t="n">
        <v>587</v>
      </c>
      <c r="B590" s="5" t="inlineStr">
        <is>
          <t>PJ-2026-0587</t>
        </is>
      </c>
      <c r="C590" s="6" t="inlineStr">
        <is>
          <t>和平街学校新建工程（三期）</t>
        </is>
      </c>
      <c r="D590" s="4" t="inlineStr">
        <is>
          <t>杨桂</t>
        </is>
      </c>
      <c r="E590" s="7" t="n">
        <v>1132</v>
      </c>
      <c r="F590" s="7" t="n">
        <v>1120.68</v>
      </c>
      <c r="G590" s="7">
        <f>E590-F590</f>
        <v/>
      </c>
      <c r="H590" s="8">
        <f>IFERROR(F590/E590,0)</f>
        <v/>
      </c>
      <c r="I590" s="4">
        <f>IF(H590&gt;=1,"超预算",IF(H590&gt;=0.9,"预警","正常"))</f>
        <v/>
      </c>
      <c r="J590" s="4">
        <f>RANK(F590,$F$4:$F$1203,0)</f>
        <v/>
      </c>
      <c r="K590" s="4" t="inlineStr">
        <is>
          <t>待启动</t>
        </is>
      </c>
    </row>
    <row r="591">
      <c r="A591" s="4" t="n">
        <v>588</v>
      </c>
      <c r="B591" s="5" t="inlineStr">
        <is>
          <t>PJ-2026-0588</t>
        </is>
      </c>
      <c r="C591" s="6" t="inlineStr">
        <is>
          <t>光明街医院改扩建项目（四期）</t>
        </is>
      </c>
      <c r="D591" s="4" t="inlineStr">
        <is>
          <t>黄丽</t>
        </is>
      </c>
      <c r="E591" s="7" t="n">
        <v>1269</v>
      </c>
      <c r="F591" s="7" t="n">
        <v>736.02</v>
      </c>
      <c r="G591" s="7">
        <f>E591-F591</f>
        <v/>
      </c>
      <c r="H591" s="8">
        <f>IFERROR(F591/E591,0)</f>
        <v/>
      </c>
      <c r="I591" s="4">
        <f>IF(H591&gt;=1,"超预算",IF(H591&gt;=0.9,"预警","正常"))</f>
        <v/>
      </c>
      <c r="J591" s="4">
        <f>RANK(F591,$F$4:$F$1203,0)</f>
        <v/>
      </c>
      <c r="K591" s="4" t="inlineStr">
        <is>
          <t>完工</t>
        </is>
      </c>
    </row>
    <row r="592">
      <c r="A592" s="4" t="n">
        <v>589</v>
      </c>
      <c r="B592" s="5" t="inlineStr">
        <is>
          <t>PJ-2026-0589</t>
        </is>
      </c>
      <c r="C592" s="6" t="inlineStr">
        <is>
          <t>城东路公交枢纽建设工程</t>
        </is>
      </c>
      <c r="D592" s="4" t="inlineStr">
        <is>
          <t>周杰</t>
        </is>
      </c>
      <c r="E592" s="7" t="n">
        <v>1406</v>
      </c>
      <c r="F592" s="7" t="n">
        <v>1223.22</v>
      </c>
      <c r="G592" s="7">
        <f>E592-F592</f>
        <v/>
      </c>
      <c r="H592" s="8">
        <f>IFERROR(F592/E592,0)</f>
        <v/>
      </c>
      <c r="I592" s="4">
        <f>IF(H592&gt;=1,"超预算",IF(H592&gt;=0.9,"预警","正常"))</f>
        <v/>
      </c>
      <c r="J592" s="4">
        <f>RANK(F592,$F$4:$F$1203,0)</f>
        <v/>
      </c>
      <c r="K592" s="4" t="inlineStr">
        <is>
          <t>在建</t>
        </is>
      </c>
    </row>
    <row r="593">
      <c r="A593" s="4" t="n">
        <v>590</v>
      </c>
      <c r="B593" s="5" t="inlineStr">
        <is>
          <t>PJ-2026-0590</t>
        </is>
      </c>
      <c r="C593" s="6" t="inlineStr">
        <is>
          <t>解放路公共停车场建设工程（二期）</t>
        </is>
      </c>
      <c r="D593" s="4" t="inlineStr">
        <is>
          <t>吴霞</t>
        </is>
      </c>
      <c r="E593" s="7" t="n">
        <v>1543</v>
      </c>
      <c r="F593" s="7" t="n">
        <v>709.78</v>
      </c>
      <c r="G593" s="7">
        <f>E593-F593</f>
        <v/>
      </c>
      <c r="H593" s="8">
        <f>IFERROR(F593/E593,0)</f>
        <v/>
      </c>
      <c r="I593" s="4">
        <f>IF(H593&gt;=1,"超预算",IF(H593&gt;=0.9,"预警","正常"))</f>
        <v/>
      </c>
      <c r="J593" s="4">
        <f>RANK(F593,$F$4:$F$1203,0)</f>
        <v/>
      </c>
      <c r="K593" s="4" t="inlineStr">
        <is>
          <t>待启动</t>
        </is>
      </c>
    </row>
    <row r="594">
      <c r="A594" s="4" t="n">
        <v>591</v>
      </c>
      <c r="B594" s="5" t="inlineStr">
        <is>
          <t>PJ-2026-0591</t>
        </is>
      </c>
      <c r="C594" s="6" t="inlineStr">
        <is>
          <t>和平街道路改造工程（三期）</t>
        </is>
      </c>
      <c r="D594" s="4" t="inlineStr">
        <is>
          <t>徐娜</t>
        </is>
      </c>
      <c r="E594" s="7" t="n">
        <v>1680</v>
      </c>
      <c r="F594" s="7" t="n">
        <v>1260</v>
      </c>
      <c r="G594" s="7">
        <f>E594-F594</f>
        <v/>
      </c>
      <c r="H594" s="8">
        <f>IFERROR(F594/E594,0)</f>
        <v/>
      </c>
      <c r="I594" s="4">
        <f>IF(H594&gt;=1,"超预算",IF(H594&gt;=0.9,"预警","正常"))</f>
        <v/>
      </c>
      <c r="J594" s="4">
        <f>RANK(F594,$F$4:$F$1203,0)</f>
        <v/>
      </c>
      <c r="K594" s="4" t="inlineStr">
        <is>
          <t>完工</t>
        </is>
      </c>
    </row>
    <row r="595">
      <c r="A595" s="4" t="n">
        <v>592</v>
      </c>
      <c r="B595" s="5" t="inlineStr">
        <is>
          <t>PJ-2026-0592</t>
        </is>
      </c>
      <c r="C595" s="6" t="inlineStr">
        <is>
          <t>光明街老旧小区改造项目（四期）</t>
        </is>
      </c>
      <c r="D595" s="4" t="inlineStr">
        <is>
          <t>孙洋</t>
        </is>
      </c>
      <c r="E595" s="7" t="n">
        <v>1817</v>
      </c>
      <c r="F595" s="7" t="n">
        <v>1889.68</v>
      </c>
      <c r="G595" s="7">
        <f>E595-F595</f>
        <v/>
      </c>
      <c r="H595" s="8">
        <f>IFERROR(F595/E595,0)</f>
        <v/>
      </c>
      <c r="I595" s="4">
        <f>IF(H595&gt;=1,"超预算",IF(H595&gt;=0.9,"预警","正常"))</f>
        <v/>
      </c>
      <c r="J595" s="4">
        <f>RANK(F595,$F$4:$F$1203,0)</f>
        <v/>
      </c>
      <c r="K595" s="4" t="inlineStr">
        <is>
          <t>在建</t>
        </is>
      </c>
    </row>
    <row r="596">
      <c r="A596" s="4" t="n">
        <v>593</v>
      </c>
      <c r="B596" s="5" t="inlineStr">
        <is>
          <t>PJ-2026-0593</t>
        </is>
      </c>
      <c r="C596" s="6" t="inlineStr">
        <is>
          <t>城东路智慧园区建设项目</t>
        </is>
      </c>
      <c r="D596" s="4" t="inlineStr">
        <is>
          <t>马超</t>
        </is>
      </c>
      <c r="E596" s="7" t="n">
        <v>1954</v>
      </c>
      <c r="F596" s="7" t="n">
        <v>1231.02</v>
      </c>
      <c r="G596" s="7">
        <f>E596-F596</f>
        <v/>
      </c>
      <c r="H596" s="8">
        <f>IFERROR(F596/E596,0)</f>
        <v/>
      </c>
      <c r="I596" s="4">
        <f>IF(H596&gt;=1,"超预算",IF(H596&gt;=0.9,"预警","正常"))</f>
        <v/>
      </c>
      <c r="J596" s="4">
        <f>RANK(F596,$F$4:$F$1203,0)</f>
        <v/>
      </c>
      <c r="K596" s="4" t="inlineStr">
        <is>
          <t>待启动</t>
        </is>
      </c>
    </row>
    <row r="597">
      <c r="A597" s="4" t="n">
        <v>594</v>
      </c>
      <c r="B597" s="5" t="inlineStr">
        <is>
          <t>PJ-2026-0594</t>
        </is>
      </c>
      <c r="C597" s="6" t="inlineStr">
        <is>
          <t>解放路污水处理扩容工程（二期）</t>
        </is>
      </c>
      <c r="D597" s="4" t="inlineStr">
        <is>
          <t>朱英</t>
        </is>
      </c>
      <c r="E597" s="7" t="n">
        <v>2091</v>
      </c>
      <c r="F597" s="7" t="n">
        <v>1923.72</v>
      </c>
      <c r="G597" s="7">
        <f>E597-F597</f>
        <v/>
      </c>
      <c r="H597" s="8">
        <f>IFERROR(F597/E597,0)</f>
        <v/>
      </c>
      <c r="I597" s="4">
        <f>IF(H597&gt;=1,"超预算",IF(H597&gt;=0.9,"预警","正常"))</f>
        <v/>
      </c>
      <c r="J597" s="4">
        <f>RANK(F597,$F$4:$F$1203,0)</f>
        <v/>
      </c>
      <c r="K597" s="4" t="inlineStr">
        <is>
          <t>完工</t>
        </is>
      </c>
    </row>
    <row r="598">
      <c r="A598" s="4" t="n">
        <v>595</v>
      </c>
      <c r="B598" s="5" t="inlineStr">
        <is>
          <t>PJ-2026-0595</t>
        </is>
      </c>
      <c r="C598" s="6" t="inlineStr">
        <is>
          <t>和平街供水管网更新工程（三期）</t>
        </is>
      </c>
      <c r="D598" s="4" t="inlineStr">
        <is>
          <t>胡强</t>
        </is>
      </c>
      <c r="E598" s="7" t="n">
        <v>2228</v>
      </c>
      <c r="F598" s="7" t="n">
        <v>1136.28</v>
      </c>
      <c r="G598" s="7">
        <f>E598-F598</f>
        <v/>
      </c>
      <c r="H598" s="8">
        <f>IFERROR(F598/E598,0)</f>
        <v/>
      </c>
      <c r="I598" s="4">
        <f>IF(H598&gt;=1,"超预算",IF(H598&gt;=0.9,"预警","正常"))</f>
        <v/>
      </c>
      <c r="J598" s="4">
        <f>RANK(F598,$F$4:$F$1203,0)</f>
        <v/>
      </c>
      <c r="K598" s="4" t="inlineStr">
        <is>
          <t>在建</t>
        </is>
      </c>
    </row>
    <row r="599">
      <c r="A599" s="4" t="n">
        <v>596</v>
      </c>
      <c r="B599" s="5" t="inlineStr">
        <is>
          <t>PJ-2026-0596</t>
        </is>
      </c>
      <c r="C599" s="6" t="inlineStr">
        <is>
          <t>光明街河道综合整治工程（四期）</t>
        </is>
      </c>
      <c r="D599" s="4" t="inlineStr">
        <is>
          <t>郭娟</t>
        </is>
      </c>
      <c r="E599" s="7" t="n">
        <v>2365</v>
      </c>
      <c r="F599" s="7" t="n">
        <v>1892</v>
      </c>
      <c r="G599" s="7">
        <f>E599-F599</f>
        <v/>
      </c>
      <c r="H599" s="8">
        <f>IFERROR(F599/E599,0)</f>
        <v/>
      </c>
      <c r="I599" s="4">
        <f>IF(H599&gt;=1,"超预算",IF(H599&gt;=0.9,"预警","正常"))</f>
        <v/>
      </c>
      <c r="J599" s="4">
        <f>RANK(F599,$F$4:$F$1203,0)</f>
        <v/>
      </c>
      <c r="K599" s="4" t="inlineStr">
        <is>
          <t>待启动</t>
        </is>
      </c>
    </row>
    <row r="600">
      <c r="A600" s="4" t="n">
        <v>597</v>
      </c>
      <c r="B600" s="5" t="inlineStr">
        <is>
          <t>PJ-2026-0597</t>
        </is>
      </c>
      <c r="C600" s="6" t="inlineStr">
        <is>
          <t>城东路学校新建工程</t>
        </is>
      </c>
      <c r="D600" s="4" t="inlineStr">
        <is>
          <t>何平</t>
        </is>
      </c>
      <c r="E600" s="7" t="n">
        <v>2502</v>
      </c>
      <c r="F600" s="7" t="n">
        <v>2727.18</v>
      </c>
      <c r="G600" s="7">
        <f>E600-F600</f>
        <v/>
      </c>
      <c r="H600" s="8">
        <f>IFERROR(F600/E600,0)</f>
        <v/>
      </c>
      <c r="I600" s="4">
        <f>IF(H600&gt;=1,"超预算",IF(H600&gt;=0.9,"预警","正常"))</f>
        <v/>
      </c>
      <c r="J600" s="4">
        <f>RANK(F600,$F$4:$F$1203,0)</f>
        <v/>
      </c>
      <c r="K600" s="4" t="inlineStr">
        <is>
          <t>完工</t>
        </is>
      </c>
    </row>
    <row r="601">
      <c r="A601" s="4" t="n">
        <v>598</v>
      </c>
      <c r="B601" s="5" t="inlineStr">
        <is>
          <t>PJ-2026-0598</t>
        </is>
      </c>
      <c r="C601" s="6" t="inlineStr">
        <is>
          <t>解放路医院改扩建项目（二期）</t>
        </is>
      </c>
      <c r="D601" s="4" t="inlineStr">
        <is>
          <t>高敏</t>
        </is>
      </c>
      <c r="E601" s="7" t="n">
        <v>2639</v>
      </c>
      <c r="F601" s="7" t="n">
        <v>1794.52</v>
      </c>
      <c r="G601" s="7">
        <f>E601-F601</f>
        <v/>
      </c>
      <c r="H601" s="8">
        <f>IFERROR(F601/E601,0)</f>
        <v/>
      </c>
      <c r="I601" s="4">
        <f>IF(H601&gt;=1,"超预算",IF(H601&gt;=0.9,"预警","正常"))</f>
        <v/>
      </c>
      <c r="J601" s="4">
        <f>RANK(F601,$F$4:$F$1203,0)</f>
        <v/>
      </c>
      <c r="K601" s="4" t="inlineStr">
        <is>
          <t>在建</t>
        </is>
      </c>
    </row>
    <row r="602">
      <c r="A602" s="4" t="n">
        <v>599</v>
      </c>
      <c r="B602" s="5" t="inlineStr">
        <is>
          <t>PJ-2026-0599</t>
        </is>
      </c>
      <c r="C602" s="6" t="inlineStr">
        <is>
          <t>和平街公交枢纽建设工程（三期）</t>
        </is>
      </c>
      <c r="D602" s="4" t="inlineStr">
        <is>
          <t>林勇</t>
        </is>
      </c>
      <c r="E602" s="7" t="n">
        <v>2776</v>
      </c>
      <c r="F602" s="7" t="n">
        <v>2692.72</v>
      </c>
      <c r="G602" s="7">
        <f>E602-F602</f>
        <v/>
      </c>
      <c r="H602" s="8">
        <f>IFERROR(F602/E602,0)</f>
        <v/>
      </c>
      <c r="I602" s="4">
        <f>IF(H602&gt;=1,"超预算",IF(H602&gt;=0.9,"预警","正常"))</f>
        <v/>
      </c>
      <c r="J602" s="4">
        <f>RANK(F602,$F$4:$F$1203,0)</f>
        <v/>
      </c>
      <c r="K602" s="4" t="inlineStr">
        <is>
          <t>待启动</t>
        </is>
      </c>
    </row>
    <row r="603">
      <c r="A603" s="4" t="n">
        <v>600</v>
      </c>
      <c r="B603" s="5" t="inlineStr">
        <is>
          <t>PJ-2026-0600</t>
        </is>
      </c>
      <c r="C603" s="6" t="inlineStr">
        <is>
          <t>光明街公共停车场建设工程（四期）</t>
        </is>
      </c>
      <c r="D603" s="4" t="inlineStr">
        <is>
          <t>罗秀</t>
        </is>
      </c>
      <c r="E603" s="7" t="n">
        <v>2913</v>
      </c>
      <c r="F603" s="7" t="n">
        <v>1631.28</v>
      </c>
      <c r="G603" s="7">
        <f>E603-F603</f>
        <v/>
      </c>
      <c r="H603" s="8">
        <f>IFERROR(F603/E603,0)</f>
        <v/>
      </c>
      <c r="I603" s="4">
        <f>IF(H603&gt;=1,"超预算",IF(H603&gt;=0.9,"预警","正常"))</f>
        <v/>
      </c>
      <c r="J603" s="4">
        <f>RANK(F603,$F$4:$F$1203,0)</f>
        <v/>
      </c>
      <c r="K603" s="4" t="inlineStr">
        <is>
          <t>完工</t>
        </is>
      </c>
    </row>
    <row r="604">
      <c r="A604" s="4" t="n">
        <v>601</v>
      </c>
      <c r="B604" s="5" t="inlineStr">
        <is>
          <t>PJ-2026-0601</t>
        </is>
      </c>
      <c r="C604" s="6" t="inlineStr">
        <is>
          <t>城东路道路改造工程</t>
        </is>
      </c>
      <c r="D604" s="4" t="inlineStr">
        <is>
          <t>张伟</t>
        </is>
      </c>
      <c r="E604" s="7" t="n">
        <v>3050</v>
      </c>
      <c r="F604" s="7" t="n">
        <v>2592.5</v>
      </c>
      <c r="G604" s="7">
        <f>E604-F604</f>
        <v/>
      </c>
      <c r="H604" s="8">
        <f>IFERROR(F604/E604,0)</f>
        <v/>
      </c>
      <c r="I604" s="4">
        <f>IF(H604&gt;=1,"超预算",IF(H604&gt;=0.9,"预警","正常"))</f>
        <v/>
      </c>
      <c r="J604" s="4">
        <f>RANK(F604,$F$4:$F$1203,0)</f>
        <v/>
      </c>
      <c r="K604" s="4" t="inlineStr">
        <is>
          <t>在建</t>
        </is>
      </c>
    </row>
    <row r="605">
      <c r="A605" s="4" t="n">
        <v>602</v>
      </c>
      <c r="B605" s="5" t="inlineStr">
        <is>
          <t>PJ-2026-0602</t>
        </is>
      </c>
      <c r="C605" s="6" t="inlineStr">
        <is>
          <t>解放路老旧小区改造项目（二期）</t>
        </is>
      </c>
      <c r="D605" s="4" t="inlineStr">
        <is>
          <t>王磊</t>
        </is>
      </c>
      <c r="E605" s="7" t="n">
        <v>3187</v>
      </c>
      <c r="F605" s="7" t="n">
        <v>3633.18</v>
      </c>
      <c r="G605" s="7">
        <f>E605-F605</f>
        <v/>
      </c>
      <c r="H605" s="8">
        <f>IFERROR(F605/E605,0)</f>
        <v/>
      </c>
      <c r="I605" s="4">
        <f>IF(H605&gt;=1,"超预算",IF(H605&gt;=0.9,"预警","正常"))</f>
        <v/>
      </c>
      <c r="J605" s="4">
        <f>RANK(F605,$F$4:$F$1203,0)</f>
        <v/>
      </c>
      <c r="K605" s="4" t="inlineStr">
        <is>
          <t>待启动</t>
        </is>
      </c>
    </row>
    <row r="606">
      <c r="A606" s="4" t="n">
        <v>603</v>
      </c>
      <c r="B606" s="5" t="inlineStr">
        <is>
          <t>PJ-2026-0603</t>
        </is>
      </c>
      <c r="C606" s="6" t="inlineStr">
        <is>
          <t>和平街智慧园区建设项目（三期）</t>
        </is>
      </c>
      <c r="D606" s="4" t="inlineStr">
        <is>
          <t>李涛</t>
        </is>
      </c>
      <c r="E606" s="7" t="n">
        <v>3324</v>
      </c>
      <c r="F606" s="7" t="n">
        <v>2426.52</v>
      </c>
      <c r="G606" s="7">
        <f>E606-F606</f>
        <v/>
      </c>
      <c r="H606" s="8">
        <f>IFERROR(F606/E606,0)</f>
        <v/>
      </c>
      <c r="I606" s="4">
        <f>IF(H606&gt;=1,"超预算",IF(H606&gt;=0.9,"预警","正常"))</f>
        <v/>
      </c>
      <c r="J606" s="4">
        <f>RANK(F606,$F$4:$F$1203,0)</f>
        <v/>
      </c>
      <c r="K606" s="4" t="inlineStr">
        <is>
          <t>完工</t>
        </is>
      </c>
    </row>
    <row r="607">
      <c r="A607" s="4" t="n">
        <v>604</v>
      </c>
      <c r="B607" s="5" t="inlineStr">
        <is>
          <t>PJ-2026-0604</t>
        </is>
      </c>
      <c r="C607" s="6" t="inlineStr">
        <is>
          <t>光明街污水处理扩容工程（四期）</t>
        </is>
      </c>
      <c r="D607" s="4" t="inlineStr">
        <is>
          <t>赵刚</t>
        </is>
      </c>
      <c r="E607" s="7" t="n">
        <v>3461</v>
      </c>
      <c r="F607" s="7" t="n">
        <v>3530.22</v>
      </c>
      <c r="G607" s="7">
        <f>E607-F607</f>
        <v/>
      </c>
      <c r="H607" s="8">
        <f>IFERROR(F607/E607,0)</f>
        <v/>
      </c>
      <c r="I607" s="4">
        <f>IF(H607&gt;=1,"超预算",IF(H607&gt;=0.9,"预警","正常"))</f>
        <v/>
      </c>
      <c r="J607" s="4">
        <f>RANK(F607,$F$4:$F$1203,0)</f>
        <v/>
      </c>
      <c r="K607" s="4" t="inlineStr">
        <is>
          <t>在建</t>
        </is>
      </c>
    </row>
    <row r="608">
      <c r="A608" s="4" t="n">
        <v>605</v>
      </c>
      <c r="B608" s="5" t="inlineStr">
        <is>
          <t>PJ-2026-0605</t>
        </is>
      </c>
      <c r="C608" s="6" t="inlineStr">
        <is>
          <t>城东路供水管网更新工程</t>
        </is>
      </c>
      <c r="D608" s="4" t="inlineStr">
        <is>
          <t>刘静</t>
        </is>
      </c>
      <c r="E608" s="7" t="n">
        <v>3598</v>
      </c>
      <c r="F608" s="7" t="n">
        <v>2194.78</v>
      </c>
      <c r="G608" s="7">
        <f>E608-F608</f>
        <v/>
      </c>
      <c r="H608" s="8">
        <f>IFERROR(F608/E608,0)</f>
        <v/>
      </c>
      <c r="I608" s="4">
        <f>IF(H608&gt;=1,"超预算",IF(H608&gt;=0.9,"预警","正常"))</f>
        <v/>
      </c>
      <c r="J608" s="4">
        <f>RANK(F608,$F$4:$F$1203,0)</f>
        <v/>
      </c>
      <c r="K608" s="4" t="inlineStr">
        <is>
          <t>待启动</t>
        </is>
      </c>
    </row>
    <row r="609">
      <c r="A609" s="4" t="n">
        <v>606</v>
      </c>
      <c r="B609" s="5" t="inlineStr">
        <is>
          <t>PJ-2026-0606</t>
        </is>
      </c>
      <c r="C609" s="6" t="inlineStr">
        <is>
          <t>解放路河道综合整治工程（二期）</t>
        </is>
      </c>
      <c r="D609" s="4" t="inlineStr">
        <is>
          <t>陈艳</t>
        </is>
      </c>
      <c r="E609" s="7" t="n">
        <v>3735</v>
      </c>
      <c r="F609" s="7" t="n">
        <v>3361.5</v>
      </c>
      <c r="G609" s="7">
        <f>E609-F609</f>
        <v/>
      </c>
      <c r="H609" s="8">
        <f>IFERROR(F609/E609,0)</f>
        <v/>
      </c>
      <c r="I609" s="4">
        <f>IF(H609&gt;=1,"超预算",IF(H609&gt;=0.9,"预警","正常"))</f>
        <v/>
      </c>
      <c r="J609" s="4">
        <f>RANK(F609,$F$4:$F$1203,0)</f>
        <v/>
      </c>
      <c r="K609" s="4" t="inlineStr">
        <is>
          <t>完工</t>
        </is>
      </c>
    </row>
    <row r="610">
      <c r="A610" s="4" t="n">
        <v>607</v>
      </c>
      <c r="B610" s="5" t="inlineStr">
        <is>
          <t>PJ-2026-0607</t>
        </is>
      </c>
      <c r="C610" s="6" t="inlineStr">
        <is>
          <t>和平街学校新建工程（三期）</t>
        </is>
      </c>
      <c r="D610" s="4" t="inlineStr">
        <is>
          <t>杨英</t>
        </is>
      </c>
      <c r="E610" s="7" t="n">
        <v>3872</v>
      </c>
      <c r="F610" s="7" t="n">
        <v>1897.28</v>
      </c>
      <c r="G610" s="7">
        <f>E610-F610</f>
        <v/>
      </c>
      <c r="H610" s="8">
        <f>IFERROR(F610/E610,0)</f>
        <v/>
      </c>
      <c r="I610" s="4">
        <f>IF(H610&gt;=1,"超预算",IF(H610&gt;=0.9,"预警","正常"))</f>
        <v/>
      </c>
      <c r="J610" s="4">
        <f>RANK(F610,$F$4:$F$1203,0)</f>
        <v/>
      </c>
      <c r="K610" s="4" t="inlineStr">
        <is>
          <t>在建</t>
        </is>
      </c>
    </row>
    <row r="611">
      <c r="A611" s="4" t="n">
        <v>608</v>
      </c>
      <c r="B611" s="5" t="inlineStr">
        <is>
          <t>PJ-2026-0608</t>
        </is>
      </c>
      <c r="C611" s="6" t="inlineStr">
        <is>
          <t>光明街医院改扩建项目（四期）</t>
        </is>
      </c>
      <c r="D611" s="4" t="inlineStr">
        <is>
          <t>黄芳</t>
        </is>
      </c>
      <c r="E611" s="7" t="n">
        <v>4009</v>
      </c>
      <c r="F611" s="7" t="n">
        <v>3127.02</v>
      </c>
      <c r="G611" s="7">
        <f>E611-F611</f>
        <v/>
      </c>
      <c r="H611" s="8">
        <f>IFERROR(F611/E611,0)</f>
        <v/>
      </c>
      <c r="I611" s="4">
        <f>IF(H611&gt;=1,"超预算",IF(H611&gt;=0.9,"预警","正常"))</f>
        <v/>
      </c>
      <c r="J611" s="4">
        <f>RANK(F611,$F$4:$F$1203,0)</f>
        <v/>
      </c>
      <c r="K611" s="4" t="inlineStr">
        <is>
          <t>待启动</t>
        </is>
      </c>
    </row>
    <row r="612">
      <c r="A612" s="4" t="n">
        <v>609</v>
      </c>
      <c r="B612" s="5" t="inlineStr">
        <is>
          <t>PJ-2026-0609</t>
        </is>
      </c>
      <c r="C612" s="6" t="inlineStr">
        <is>
          <t>城东路公交枢纽建设工程</t>
        </is>
      </c>
      <c r="D612" s="4" t="inlineStr">
        <is>
          <t>周军</t>
        </is>
      </c>
      <c r="E612" s="7" t="n">
        <v>4146</v>
      </c>
      <c r="F612" s="7" t="n">
        <v>4436.22</v>
      </c>
      <c r="G612" s="7">
        <f>E612-F612</f>
        <v/>
      </c>
      <c r="H612" s="8">
        <f>IFERROR(F612/E612,0)</f>
        <v/>
      </c>
      <c r="I612" s="4">
        <f>IF(H612&gt;=1,"超预算",IF(H612&gt;=0.9,"预警","正常"))</f>
        <v/>
      </c>
      <c r="J612" s="4">
        <f>RANK(F612,$F$4:$F$1203,0)</f>
        <v/>
      </c>
      <c r="K612" s="4" t="inlineStr">
        <is>
          <t>完工</t>
        </is>
      </c>
    </row>
    <row r="613">
      <c r="A613" s="4" t="n">
        <v>610</v>
      </c>
      <c r="B613" s="5" t="inlineStr">
        <is>
          <t>PJ-2026-0610</t>
        </is>
      </c>
      <c r="C613" s="6" t="inlineStr">
        <is>
          <t>解放路公共停车场建设工程（二期）</t>
        </is>
      </c>
      <c r="D613" s="4" t="inlineStr">
        <is>
          <t>吴明</t>
        </is>
      </c>
      <c r="E613" s="7" t="n">
        <v>4283</v>
      </c>
      <c r="F613" s="7" t="n">
        <v>2826.78</v>
      </c>
      <c r="G613" s="7">
        <f>E613-F613</f>
        <v/>
      </c>
      <c r="H613" s="8">
        <f>IFERROR(F613/E613,0)</f>
        <v/>
      </c>
      <c r="I613" s="4">
        <f>IF(H613&gt;=1,"超预算",IF(H613&gt;=0.9,"预警","正常"))</f>
        <v/>
      </c>
      <c r="J613" s="4">
        <f>RANK(F613,$F$4:$F$1203,0)</f>
        <v/>
      </c>
      <c r="K613" s="4" t="inlineStr">
        <is>
          <t>在建</t>
        </is>
      </c>
    </row>
    <row r="614">
      <c r="A614" s="4" t="n">
        <v>611</v>
      </c>
      <c r="B614" s="5" t="inlineStr">
        <is>
          <t>PJ-2026-0611</t>
        </is>
      </c>
      <c r="C614" s="6" t="inlineStr">
        <is>
          <t>和平街道路改造工程（三期）</t>
        </is>
      </c>
      <c r="D614" s="4" t="inlineStr">
        <is>
          <t>徐桂</t>
        </is>
      </c>
      <c r="E614" s="7" t="n">
        <v>4420</v>
      </c>
      <c r="F614" s="7" t="n">
        <v>4199</v>
      </c>
      <c r="G614" s="7">
        <f>E614-F614</f>
        <v/>
      </c>
      <c r="H614" s="8">
        <f>IFERROR(F614/E614,0)</f>
        <v/>
      </c>
      <c r="I614" s="4">
        <f>IF(H614&gt;=1,"超预算",IF(H614&gt;=0.9,"预警","正常"))</f>
        <v/>
      </c>
      <c r="J614" s="4">
        <f>RANK(F614,$F$4:$F$1203,0)</f>
        <v/>
      </c>
      <c r="K614" s="4" t="inlineStr">
        <is>
          <t>待启动</t>
        </is>
      </c>
    </row>
    <row r="615">
      <c r="A615" s="4" t="n">
        <v>612</v>
      </c>
      <c r="B615" s="5" t="inlineStr">
        <is>
          <t>PJ-2026-0612</t>
        </is>
      </c>
      <c r="C615" s="6" t="inlineStr">
        <is>
          <t>光明街老旧小区改造项目（四期）</t>
        </is>
      </c>
      <c r="D615" s="4" t="inlineStr">
        <is>
          <t>孙丽</t>
        </is>
      </c>
      <c r="E615" s="7" t="n">
        <v>4557</v>
      </c>
      <c r="F615" s="7" t="n">
        <v>2460.78</v>
      </c>
      <c r="G615" s="7">
        <f>E615-F615</f>
        <v/>
      </c>
      <c r="H615" s="8">
        <f>IFERROR(F615/E615,0)</f>
        <v/>
      </c>
      <c r="I615" s="4">
        <f>IF(H615&gt;=1,"超预算",IF(H615&gt;=0.9,"预警","正常"))</f>
        <v/>
      </c>
      <c r="J615" s="4">
        <f>RANK(F615,$F$4:$F$1203,0)</f>
        <v/>
      </c>
      <c r="K615" s="4" t="inlineStr">
        <is>
          <t>完工</t>
        </is>
      </c>
    </row>
    <row r="616">
      <c r="A616" s="4" t="n">
        <v>613</v>
      </c>
      <c r="B616" s="5" t="inlineStr">
        <is>
          <t>PJ-2026-0613</t>
        </is>
      </c>
      <c r="C616" s="6" t="inlineStr">
        <is>
          <t>城东路智慧园区建设项目</t>
        </is>
      </c>
      <c r="D616" s="4" t="inlineStr">
        <is>
          <t>马杰</t>
        </is>
      </c>
      <c r="E616" s="7" t="n">
        <v>4694</v>
      </c>
      <c r="F616" s="7" t="n">
        <v>3896.02</v>
      </c>
      <c r="G616" s="7">
        <f>E616-F616</f>
        <v/>
      </c>
      <c r="H616" s="8">
        <f>IFERROR(F616/E616,0)</f>
        <v/>
      </c>
      <c r="I616" s="4">
        <f>IF(H616&gt;=1,"超预算",IF(H616&gt;=0.9,"预警","正常"))</f>
        <v/>
      </c>
      <c r="J616" s="4">
        <f>RANK(F616,$F$4:$F$1203,0)</f>
        <v/>
      </c>
      <c r="K616" s="4" t="inlineStr">
        <is>
          <t>在建</t>
        </is>
      </c>
    </row>
    <row r="617">
      <c r="A617" s="4" t="n">
        <v>614</v>
      </c>
      <c r="B617" s="5" t="inlineStr">
        <is>
          <t>PJ-2026-0614</t>
        </is>
      </c>
      <c r="C617" s="6" t="inlineStr">
        <is>
          <t>解放路污水处理扩容工程（二期）</t>
        </is>
      </c>
      <c r="D617" s="4" t="inlineStr">
        <is>
          <t>朱霞</t>
        </is>
      </c>
      <c r="E617" s="7" t="n">
        <v>4831</v>
      </c>
      <c r="F617" s="7" t="n">
        <v>5410.72</v>
      </c>
      <c r="G617" s="7">
        <f>E617-F617</f>
        <v/>
      </c>
      <c r="H617" s="8">
        <f>IFERROR(F617/E617,0)</f>
        <v/>
      </c>
      <c r="I617" s="4">
        <f>IF(H617&gt;=1,"超预算",IF(H617&gt;=0.9,"预警","正常"))</f>
        <v/>
      </c>
      <c r="J617" s="4">
        <f>RANK(F617,$F$4:$F$1203,0)</f>
        <v/>
      </c>
      <c r="K617" s="4" t="inlineStr">
        <is>
          <t>待启动</t>
        </is>
      </c>
    </row>
    <row r="618">
      <c r="A618" s="4" t="n">
        <v>615</v>
      </c>
      <c r="B618" s="5" t="inlineStr">
        <is>
          <t>PJ-2026-0615</t>
        </is>
      </c>
      <c r="C618" s="6" t="inlineStr">
        <is>
          <t>和平街供水管网更新工程（三期）</t>
        </is>
      </c>
      <c r="D618" s="4" t="inlineStr">
        <is>
          <t>胡娜</t>
        </is>
      </c>
      <c r="E618" s="7" t="n">
        <v>4968</v>
      </c>
      <c r="F618" s="7" t="n">
        <v>3527.28</v>
      </c>
      <c r="G618" s="7">
        <f>E618-F618</f>
        <v/>
      </c>
      <c r="H618" s="8">
        <f>IFERROR(F618/E618,0)</f>
        <v/>
      </c>
      <c r="I618" s="4">
        <f>IF(H618&gt;=1,"超预算",IF(H618&gt;=0.9,"预警","正常"))</f>
        <v/>
      </c>
      <c r="J618" s="4">
        <f>RANK(F618,$F$4:$F$1203,0)</f>
        <v/>
      </c>
      <c r="K618" s="4" t="inlineStr">
        <is>
          <t>完工</t>
        </is>
      </c>
    </row>
    <row r="619">
      <c r="A619" s="4" t="n">
        <v>616</v>
      </c>
      <c r="B619" s="5" t="inlineStr">
        <is>
          <t>PJ-2026-0616</t>
        </is>
      </c>
      <c r="C619" s="6" t="inlineStr">
        <is>
          <t>光明街河道综合整治工程（四期）</t>
        </is>
      </c>
      <c r="D619" s="4" t="inlineStr">
        <is>
          <t>郭洋</t>
        </is>
      </c>
      <c r="E619" s="7" t="n">
        <v>155</v>
      </c>
      <c r="F619" s="7" t="n">
        <v>155</v>
      </c>
      <c r="G619" s="7">
        <f>E619-F619</f>
        <v/>
      </c>
      <c r="H619" s="8">
        <f>IFERROR(F619/E619,0)</f>
        <v/>
      </c>
      <c r="I619" s="4">
        <f>IF(H619&gt;=1,"超预算",IF(H619&gt;=0.9,"预警","正常"))</f>
        <v/>
      </c>
      <c r="J619" s="4">
        <f>RANK(F619,$F$4:$F$1203,0)</f>
        <v/>
      </c>
      <c r="K619" s="4" t="inlineStr">
        <is>
          <t>在建</t>
        </is>
      </c>
    </row>
    <row r="620">
      <c r="A620" s="4" t="n">
        <v>617</v>
      </c>
      <c r="B620" s="5" t="inlineStr">
        <is>
          <t>PJ-2026-0617</t>
        </is>
      </c>
      <c r="C620" s="6" t="inlineStr">
        <is>
          <t>城东路学校新建工程</t>
        </is>
      </c>
      <c r="D620" s="4" t="inlineStr">
        <is>
          <t>何超</t>
        </is>
      </c>
      <c r="E620" s="7" t="n">
        <v>292</v>
      </c>
      <c r="F620" s="7" t="n">
        <v>172.28</v>
      </c>
      <c r="G620" s="7">
        <f>E620-F620</f>
        <v/>
      </c>
      <c r="H620" s="8">
        <f>IFERROR(F620/E620,0)</f>
        <v/>
      </c>
      <c r="I620" s="4">
        <f>IF(H620&gt;=1,"超预算",IF(H620&gt;=0.9,"预警","正常"))</f>
        <v/>
      </c>
      <c r="J620" s="4">
        <f>RANK(F620,$F$4:$F$1203,0)</f>
        <v/>
      </c>
      <c r="K620" s="4" t="inlineStr">
        <is>
          <t>待启动</t>
        </is>
      </c>
    </row>
    <row r="621">
      <c r="A621" s="4" t="n">
        <v>618</v>
      </c>
      <c r="B621" s="5" t="inlineStr">
        <is>
          <t>PJ-2026-0618</t>
        </is>
      </c>
      <c r="C621" s="6" t="inlineStr">
        <is>
          <t>解放路医院改扩建项目（二期）</t>
        </is>
      </c>
      <c r="D621" s="4" t="inlineStr">
        <is>
          <t>高英</t>
        </is>
      </c>
      <c r="E621" s="7" t="n">
        <v>429</v>
      </c>
      <c r="F621" s="7" t="n">
        <v>377.52</v>
      </c>
      <c r="G621" s="7">
        <f>E621-F621</f>
        <v/>
      </c>
      <c r="H621" s="8">
        <f>IFERROR(F621/E621,0)</f>
        <v/>
      </c>
      <c r="I621" s="4">
        <f>IF(H621&gt;=1,"超预算",IF(H621&gt;=0.9,"预警","正常"))</f>
        <v/>
      </c>
      <c r="J621" s="4">
        <f>RANK(F621,$F$4:$F$1203,0)</f>
        <v/>
      </c>
      <c r="K621" s="4" t="inlineStr">
        <is>
          <t>完工</t>
        </is>
      </c>
    </row>
    <row r="622">
      <c r="A622" s="4" t="n">
        <v>619</v>
      </c>
      <c r="B622" s="5" t="inlineStr">
        <is>
          <t>PJ-2026-0619</t>
        </is>
      </c>
      <c r="C622" s="6" t="inlineStr">
        <is>
          <t>和平街公交枢纽建设工程（三期）</t>
        </is>
      </c>
      <c r="D622" s="4" t="inlineStr">
        <is>
          <t>林强</t>
        </is>
      </c>
      <c r="E622" s="7" t="n">
        <v>566</v>
      </c>
      <c r="F622" s="7" t="n">
        <v>266.02</v>
      </c>
      <c r="G622" s="7">
        <f>E622-F622</f>
        <v/>
      </c>
      <c r="H622" s="8">
        <f>IFERROR(F622/E622,0)</f>
        <v/>
      </c>
      <c r="I622" s="4">
        <f>IF(H622&gt;=1,"超预算",IF(H622&gt;=0.9,"预警","正常"))</f>
        <v/>
      </c>
      <c r="J622" s="4">
        <f>RANK(F622,$F$4:$F$1203,0)</f>
        <v/>
      </c>
      <c r="K622" s="4" t="inlineStr">
        <is>
          <t>在建</t>
        </is>
      </c>
    </row>
    <row r="623">
      <c r="A623" s="4" t="n">
        <v>620</v>
      </c>
      <c r="B623" s="5" t="inlineStr">
        <is>
          <t>PJ-2026-0620</t>
        </is>
      </c>
      <c r="C623" s="6" t="inlineStr">
        <is>
          <t>光明街公共停车场建设工程（四期）</t>
        </is>
      </c>
      <c r="D623" s="4" t="inlineStr">
        <is>
          <t>罗娟</t>
        </is>
      </c>
      <c r="E623" s="7" t="n">
        <v>703</v>
      </c>
      <c r="F623" s="7" t="n">
        <v>534.28</v>
      </c>
      <c r="G623" s="7">
        <f>E623-F623</f>
        <v/>
      </c>
      <c r="H623" s="8">
        <f>IFERROR(F623/E623,0)</f>
        <v/>
      </c>
      <c r="I623" s="4">
        <f>IF(H623&gt;=1,"超预算",IF(H623&gt;=0.9,"预警","正常"))</f>
        <v/>
      </c>
      <c r="J623" s="4">
        <f>RANK(F623,$F$4:$F$1203,0)</f>
        <v/>
      </c>
      <c r="K623" s="4" t="inlineStr">
        <is>
          <t>待启动</t>
        </is>
      </c>
    </row>
    <row r="624">
      <c r="A624" s="4" t="n">
        <v>621</v>
      </c>
      <c r="B624" s="5" t="inlineStr">
        <is>
          <t>PJ-2026-0621</t>
        </is>
      </c>
      <c r="C624" s="6" t="inlineStr">
        <is>
          <t>城东路道路改造工程</t>
        </is>
      </c>
      <c r="D624" s="4" t="inlineStr">
        <is>
          <t>张平</t>
        </is>
      </c>
      <c r="E624" s="7" t="n">
        <v>840</v>
      </c>
      <c r="F624" s="7" t="n">
        <v>882</v>
      </c>
      <c r="G624" s="7">
        <f>E624-F624</f>
        <v/>
      </c>
      <c r="H624" s="8">
        <f>IFERROR(F624/E624,0)</f>
        <v/>
      </c>
      <c r="I624" s="4">
        <f>IF(H624&gt;=1,"超预算",IF(H624&gt;=0.9,"预警","正常"))</f>
        <v/>
      </c>
      <c r="J624" s="4">
        <f>RANK(F624,$F$4:$F$1203,0)</f>
        <v/>
      </c>
      <c r="K624" s="4" t="inlineStr">
        <is>
          <t>完工</t>
        </is>
      </c>
    </row>
    <row r="625">
      <c r="A625" s="4" t="n">
        <v>622</v>
      </c>
      <c r="B625" s="5" t="inlineStr">
        <is>
          <t>PJ-2026-0622</t>
        </is>
      </c>
      <c r="C625" s="6" t="inlineStr">
        <is>
          <t>解放路老旧小区改造项目（二期）</t>
        </is>
      </c>
      <c r="D625" s="4" t="inlineStr">
        <is>
          <t>王敏</t>
        </is>
      </c>
      <c r="E625" s="7" t="n">
        <v>977</v>
      </c>
      <c r="F625" s="7" t="n">
        <v>625.28</v>
      </c>
      <c r="G625" s="7">
        <f>E625-F625</f>
        <v/>
      </c>
      <c r="H625" s="8">
        <f>IFERROR(F625/E625,0)</f>
        <v/>
      </c>
      <c r="I625" s="4">
        <f>IF(H625&gt;=1,"超预算",IF(H625&gt;=0.9,"预警","正常"))</f>
        <v/>
      </c>
      <c r="J625" s="4">
        <f>RANK(F625,$F$4:$F$1203,0)</f>
        <v/>
      </c>
      <c r="K625" s="4" t="inlineStr">
        <is>
          <t>在建</t>
        </is>
      </c>
    </row>
    <row r="626">
      <c r="A626" s="4" t="n">
        <v>623</v>
      </c>
      <c r="B626" s="5" t="inlineStr">
        <is>
          <t>PJ-2026-0623</t>
        </is>
      </c>
      <c r="C626" s="6" t="inlineStr">
        <is>
          <t>和平街智慧园区建设项目（三期）</t>
        </is>
      </c>
      <c r="D626" s="4" t="inlineStr">
        <is>
          <t>李勇</t>
        </is>
      </c>
      <c r="E626" s="7" t="n">
        <v>1114</v>
      </c>
      <c r="F626" s="7" t="n">
        <v>1036.02</v>
      </c>
      <c r="G626" s="7">
        <f>E626-F626</f>
        <v/>
      </c>
      <c r="H626" s="8">
        <f>IFERROR(F626/E626,0)</f>
        <v/>
      </c>
      <c r="I626" s="4">
        <f>IF(H626&gt;=1,"超预算",IF(H626&gt;=0.9,"预警","正常"))</f>
        <v/>
      </c>
      <c r="J626" s="4">
        <f>RANK(F626,$F$4:$F$1203,0)</f>
        <v/>
      </c>
      <c r="K626" s="4" t="inlineStr">
        <is>
          <t>待启动</t>
        </is>
      </c>
    </row>
    <row r="627">
      <c r="A627" s="4" t="n">
        <v>624</v>
      </c>
      <c r="B627" s="5" t="inlineStr">
        <is>
          <t>PJ-2026-0624</t>
        </is>
      </c>
      <c r="C627" s="6" t="inlineStr">
        <is>
          <t>光明街污水处理扩容工程（四期）</t>
        </is>
      </c>
      <c r="D627" s="4" t="inlineStr">
        <is>
          <t>赵秀</t>
        </is>
      </c>
      <c r="E627" s="7" t="n">
        <v>1251</v>
      </c>
      <c r="F627" s="7" t="n">
        <v>650.52</v>
      </c>
      <c r="G627" s="7">
        <f>E627-F627</f>
        <v/>
      </c>
      <c r="H627" s="8">
        <f>IFERROR(F627/E627,0)</f>
        <v/>
      </c>
      <c r="I627" s="4">
        <f>IF(H627&gt;=1,"超预算",IF(H627&gt;=0.9,"预警","正常"))</f>
        <v/>
      </c>
      <c r="J627" s="4">
        <f>RANK(F627,$F$4:$F$1203,0)</f>
        <v/>
      </c>
      <c r="K627" s="4" t="inlineStr">
        <is>
          <t>完工</t>
        </is>
      </c>
    </row>
    <row r="628">
      <c r="A628" s="4" t="n">
        <v>625</v>
      </c>
      <c r="B628" s="5" t="inlineStr">
        <is>
          <t>PJ-2026-0625</t>
        </is>
      </c>
      <c r="C628" s="6" t="inlineStr">
        <is>
          <t>城东路供水管网更新工程</t>
        </is>
      </c>
      <c r="D628" s="4" t="inlineStr">
        <is>
          <t>刘伟</t>
        </is>
      </c>
      <c r="E628" s="7" t="n">
        <v>1388</v>
      </c>
      <c r="F628" s="7" t="n">
        <v>1124.28</v>
      </c>
      <c r="G628" s="7">
        <f>E628-F628</f>
        <v/>
      </c>
      <c r="H628" s="8">
        <f>IFERROR(F628/E628,0)</f>
        <v/>
      </c>
      <c r="I628" s="4">
        <f>IF(H628&gt;=1,"超预算",IF(H628&gt;=0.9,"预警","正常"))</f>
        <v/>
      </c>
      <c r="J628" s="4">
        <f>RANK(F628,$F$4:$F$1203,0)</f>
        <v/>
      </c>
      <c r="K628" s="4" t="inlineStr">
        <is>
          <t>在建</t>
        </is>
      </c>
    </row>
    <row r="629">
      <c r="A629" s="4" t="n">
        <v>626</v>
      </c>
      <c r="B629" s="5" t="inlineStr">
        <is>
          <t>PJ-2026-0626</t>
        </is>
      </c>
      <c r="C629" s="6" t="inlineStr">
        <is>
          <t>解放路河道综合整治工程（二期）</t>
        </is>
      </c>
      <c r="D629" s="4" t="inlineStr">
        <is>
          <t>陈磊</t>
        </is>
      </c>
      <c r="E629" s="7" t="n">
        <v>1525</v>
      </c>
      <c r="F629" s="7" t="n">
        <v>1677.5</v>
      </c>
      <c r="G629" s="7">
        <f>E629-F629</f>
        <v/>
      </c>
      <c r="H629" s="8">
        <f>IFERROR(F629/E629,0)</f>
        <v/>
      </c>
      <c r="I629" s="4">
        <f>IF(H629&gt;=1,"超预算",IF(H629&gt;=0.9,"预警","正常"))</f>
        <v/>
      </c>
      <c r="J629" s="4">
        <f>RANK(F629,$F$4:$F$1203,0)</f>
        <v/>
      </c>
      <c r="K629" s="4" t="inlineStr">
        <is>
          <t>待启动</t>
        </is>
      </c>
    </row>
    <row r="630">
      <c r="A630" s="4" t="n">
        <v>627</v>
      </c>
      <c r="B630" s="5" t="inlineStr">
        <is>
          <t>PJ-2026-0627</t>
        </is>
      </c>
      <c r="C630" s="6" t="inlineStr">
        <is>
          <t>和平街学校新建工程（三期）</t>
        </is>
      </c>
      <c r="D630" s="4" t="inlineStr">
        <is>
          <t>杨涛</t>
        </is>
      </c>
      <c r="E630" s="7" t="n">
        <v>1662</v>
      </c>
      <c r="F630" s="7" t="n">
        <v>1146.78</v>
      </c>
      <c r="G630" s="7">
        <f>E630-F630</f>
        <v/>
      </c>
      <c r="H630" s="8">
        <f>IFERROR(F630/E630,0)</f>
        <v/>
      </c>
      <c r="I630" s="4">
        <f>IF(H630&gt;=1,"超预算",IF(H630&gt;=0.9,"预警","正常"))</f>
        <v/>
      </c>
      <c r="J630" s="4">
        <f>RANK(F630,$F$4:$F$1203,0)</f>
        <v/>
      </c>
      <c r="K630" s="4" t="inlineStr">
        <is>
          <t>完工</t>
        </is>
      </c>
    </row>
    <row r="631">
      <c r="A631" s="4" t="n">
        <v>628</v>
      </c>
      <c r="B631" s="5" t="inlineStr">
        <is>
          <t>PJ-2026-0628</t>
        </is>
      </c>
      <c r="C631" s="6" t="inlineStr">
        <is>
          <t>光明街医院改扩建项目（四期）</t>
        </is>
      </c>
      <c r="D631" s="4" t="inlineStr">
        <is>
          <t>黄刚</t>
        </is>
      </c>
      <c r="E631" s="7" t="n">
        <v>1799</v>
      </c>
      <c r="F631" s="7" t="n">
        <v>1763.02</v>
      </c>
      <c r="G631" s="7">
        <f>E631-F631</f>
        <v/>
      </c>
      <c r="H631" s="8">
        <f>IFERROR(F631/E631,0)</f>
        <v/>
      </c>
      <c r="I631" s="4">
        <f>IF(H631&gt;=1,"超预算",IF(H631&gt;=0.9,"预警","正常"))</f>
        <v/>
      </c>
      <c r="J631" s="4">
        <f>RANK(F631,$F$4:$F$1203,0)</f>
        <v/>
      </c>
      <c r="K631" s="4" t="inlineStr">
        <is>
          <t>在建</t>
        </is>
      </c>
    </row>
    <row r="632">
      <c r="A632" s="4" t="n">
        <v>629</v>
      </c>
      <c r="B632" s="5" t="inlineStr">
        <is>
          <t>PJ-2026-0629</t>
        </is>
      </c>
      <c r="C632" s="6" t="inlineStr">
        <is>
          <t>城东路公交枢纽建设工程</t>
        </is>
      </c>
      <c r="D632" s="4" t="inlineStr">
        <is>
          <t>周静</t>
        </is>
      </c>
      <c r="E632" s="7" t="n">
        <v>1936</v>
      </c>
      <c r="F632" s="7" t="n">
        <v>1103.52</v>
      </c>
      <c r="G632" s="7">
        <f>E632-F632</f>
        <v/>
      </c>
      <c r="H632" s="8">
        <f>IFERROR(F632/E632,0)</f>
        <v/>
      </c>
      <c r="I632" s="4">
        <f>IF(H632&gt;=1,"超预算",IF(H632&gt;=0.9,"预警","正常"))</f>
        <v/>
      </c>
      <c r="J632" s="4">
        <f>RANK(F632,$F$4:$F$1203,0)</f>
        <v/>
      </c>
      <c r="K632" s="4" t="inlineStr">
        <is>
          <t>待启动</t>
        </is>
      </c>
    </row>
    <row r="633">
      <c r="A633" s="4" t="n">
        <v>630</v>
      </c>
      <c r="B633" s="5" t="inlineStr">
        <is>
          <t>PJ-2026-0630</t>
        </is>
      </c>
      <c r="C633" s="6" t="inlineStr">
        <is>
          <t>解放路公共停车场建设工程（二期）</t>
        </is>
      </c>
      <c r="D633" s="4" t="inlineStr">
        <is>
          <t>吴艳</t>
        </is>
      </c>
      <c r="E633" s="7" t="n">
        <v>2073</v>
      </c>
      <c r="F633" s="7" t="n">
        <v>1782.78</v>
      </c>
      <c r="G633" s="7">
        <f>E633-F633</f>
        <v/>
      </c>
      <c r="H633" s="8">
        <f>IFERROR(F633/E633,0)</f>
        <v/>
      </c>
      <c r="I633" s="4">
        <f>IF(H633&gt;=1,"超预算",IF(H633&gt;=0.9,"预警","正常"))</f>
        <v/>
      </c>
      <c r="J633" s="4">
        <f>RANK(F633,$F$4:$F$1203,0)</f>
        <v/>
      </c>
      <c r="K633" s="4" t="inlineStr">
        <is>
          <t>完工</t>
        </is>
      </c>
    </row>
    <row r="634">
      <c r="A634" s="4" t="n">
        <v>631</v>
      </c>
      <c r="B634" s="5" t="inlineStr">
        <is>
          <t>PJ-2026-0631</t>
        </is>
      </c>
      <c r="C634" s="6" t="inlineStr">
        <is>
          <t>和平街道路改造工程（三期）</t>
        </is>
      </c>
      <c r="D634" s="4" t="inlineStr">
        <is>
          <t>徐英</t>
        </is>
      </c>
      <c r="E634" s="7" t="n">
        <v>2210</v>
      </c>
      <c r="F634" s="7" t="n">
        <v>994.5</v>
      </c>
      <c r="G634" s="7">
        <f>E634-F634</f>
        <v/>
      </c>
      <c r="H634" s="8">
        <f>IFERROR(F634/E634,0)</f>
        <v/>
      </c>
      <c r="I634" s="4">
        <f>IF(H634&gt;=1,"超预算",IF(H634&gt;=0.9,"预警","正常"))</f>
        <v/>
      </c>
      <c r="J634" s="4">
        <f>RANK(F634,$F$4:$F$1203,0)</f>
        <v/>
      </c>
      <c r="K634" s="4" t="inlineStr">
        <is>
          <t>在建</t>
        </is>
      </c>
    </row>
    <row r="635">
      <c r="A635" s="4" t="n">
        <v>632</v>
      </c>
      <c r="B635" s="5" t="inlineStr">
        <is>
          <t>PJ-2026-0632</t>
        </is>
      </c>
      <c r="C635" s="6" t="inlineStr">
        <is>
          <t>光明街老旧小区改造项目（四期）</t>
        </is>
      </c>
      <c r="D635" s="4" t="inlineStr">
        <is>
          <t>孙芳</t>
        </is>
      </c>
      <c r="E635" s="7" t="n">
        <v>2347</v>
      </c>
      <c r="F635" s="7" t="n">
        <v>1736.78</v>
      </c>
      <c r="G635" s="7">
        <f>E635-F635</f>
        <v/>
      </c>
      <c r="H635" s="8">
        <f>IFERROR(F635/E635,0)</f>
        <v/>
      </c>
      <c r="I635" s="4">
        <f>IF(H635&gt;=1,"超预算",IF(H635&gt;=0.9,"预警","正常"))</f>
        <v/>
      </c>
      <c r="J635" s="4">
        <f>RANK(F635,$F$4:$F$1203,0)</f>
        <v/>
      </c>
      <c r="K635" s="4" t="inlineStr">
        <is>
          <t>待启动</t>
        </is>
      </c>
    </row>
    <row r="636">
      <c r="A636" s="4" t="n">
        <v>633</v>
      </c>
      <c r="B636" s="5" t="inlineStr">
        <is>
          <t>PJ-2026-0633</t>
        </is>
      </c>
      <c r="C636" s="6" t="inlineStr">
        <is>
          <t>城东路智慧园区建设项目</t>
        </is>
      </c>
      <c r="D636" s="4" t="inlineStr">
        <is>
          <t>马军</t>
        </is>
      </c>
      <c r="E636" s="7" t="n">
        <v>2484</v>
      </c>
      <c r="F636" s="7" t="n">
        <v>2558.52</v>
      </c>
      <c r="G636" s="7">
        <f>E636-F636</f>
        <v/>
      </c>
      <c r="H636" s="8">
        <f>IFERROR(F636/E636,0)</f>
        <v/>
      </c>
      <c r="I636" s="4">
        <f>IF(H636&gt;=1,"超预算",IF(H636&gt;=0.9,"预警","正常"))</f>
        <v/>
      </c>
      <c r="J636" s="4">
        <f>RANK(F636,$F$4:$F$1203,0)</f>
        <v/>
      </c>
      <c r="K636" s="4" t="inlineStr">
        <is>
          <t>完工</t>
        </is>
      </c>
    </row>
    <row r="637">
      <c r="A637" s="4" t="n">
        <v>634</v>
      </c>
      <c r="B637" s="5" t="inlineStr">
        <is>
          <t>PJ-2026-0634</t>
        </is>
      </c>
      <c r="C637" s="6" t="inlineStr">
        <is>
          <t>解放路污水处理扩容工程（二期）</t>
        </is>
      </c>
      <c r="D637" s="4" t="inlineStr">
        <is>
          <t>朱明</t>
        </is>
      </c>
      <c r="E637" s="7" t="n">
        <v>2621</v>
      </c>
      <c r="F637" s="7" t="n">
        <v>1625.02</v>
      </c>
      <c r="G637" s="7">
        <f>E637-F637</f>
        <v/>
      </c>
      <c r="H637" s="8">
        <f>IFERROR(F637/E637,0)</f>
        <v/>
      </c>
      <c r="I637" s="4">
        <f>IF(H637&gt;=1,"超预算",IF(H637&gt;=0.9,"预警","正常"))</f>
        <v/>
      </c>
      <c r="J637" s="4">
        <f>RANK(F637,$F$4:$F$1203,0)</f>
        <v/>
      </c>
      <c r="K637" s="4" t="inlineStr">
        <is>
          <t>在建</t>
        </is>
      </c>
    </row>
    <row r="638">
      <c r="A638" s="4" t="n">
        <v>635</v>
      </c>
      <c r="B638" s="5" t="inlineStr">
        <is>
          <t>PJ-2026-0635</t>
        </is>
      </c>
      <c r="C638" s="6" t="inlineStr">
        <is>
          <t>和平街供水管网更新工程（三期）</t>
        </is>
      </c>
      <c r="D638" s="4" t="inlineStr">
        <is>
          <t>胡桂</t>
        </is>
      </c>
      <c r="E638" s="7" t="n">
        <v>2758</v>
      </c>
      <c r="F638" s="7" t="n">
        <v>2509.78</v>
      </c>
      <c r="G638" s="7">
        <f>E638-F638</f>
        <v/>
      </c>
      <c r="H638" s="8">
        <f>IFERROR(F638/E638,0)</f>
        <v/>
      </c>
      <c r="I638" s="4">
        <f>IF(H638&gt;=1,"超预算",IF(H638&gt;=0.9,"预警","正常"))</f>
        <v/>
      </c>
      <c r="J638" s="4">
        <f>RANK(F638,$F$4:$F$1203,0)</f>
        <v/>
      </c>
      <c r="K638" s="4" t="inlineStr">
        <is>
          <t>待启动</t>
        </is>
      </c>
    </row>
    <row r="639">
      <c r="A639" s="4" t="n">
        <v>636</v>
      </c>
      <c r="B639" s="5" t="inlineStr">
        <is>
          <t>PJ-2026-0636</t>
        </is>
      </c>
      <c r="C639" s="6" t="inlineStr">
        <is>
          <t>光明街河道综合整治工程（四期）</t>
        </is>
      </c>
      <c r="D639" s="4" t="inlineStr">
        <is>
          <t>郭丽</t>
        </is>
      </c>
      <c r="E639" s="7" t="n">
        <v>2895</v>
      </c>
      <c r="F639" s="7" t="n">
        <v>1447.5</v>
      </c>
      <c r="G639" s="7">
        <f>E639-F639</f>
        <v/>
      </c>
      <c r="H639" s="8">
        <f>IFERROR(F639/E639,0)</f>
        <v/>
      </c>
      <c r="I639" s="4">
        <f>IF(H639&gt;=1,"超预算",IF(H639&gt;=0.9,"预警","正常"))</f>
        <v/>
      </c>
      <c r="J639" s="4">
        <f>RANK(F639,$F$4:$F$1203,0)</f>
        <v/>
      </c>
      <c r="K639" s="4" t="inlineStr">
        <is>
          <t>完工</t>
        </is>
      </c>
    </row>
    <row r="640">
      <c r="A640" s="4" t="n">
        <v>637</v>
      </c>
      <c r="B640" s="5" t="inlineStr">
        <is>
          <t>PJ-2026-0637</t>
        </is>
      </c>
      <c r="C640" s="6" t="inlineStr">
        <is>
          <t>城东路学校新建工程</t>
        </is>
      </c>
      <c r="D640" s="4" t="inlineStr">
        <is>
          <t>何杰</t>
        </is>
      </c>
      <c r="E640" s="7" t="n">
        <v>3032</v>
      </c>
      <c r="F640" s="7" t="n">
        <v>2395.28</v>
      </c>
      <c r="G640" s="7">
        <f>E640-F640</f>
        <v/>
      </c>
      <c r="H640" s="8">
        <f>IFERROR(F640/E640,0)</f>
        <v/>
      </c>
      <c r="I640" s="4">
        <f>IF(H640&gt;=1,"超预算",IF(H640&gt;=0.9,"预警","正常"))</f>
        <v/>
      </c>
      <c r="J640" s="4">
        <f>RANK(F640,$F$4:$F$1203,0)</f>
        <v/>
      </c>
      <c r="K640" s="4" t="inlineStr">
        <is>
          <t>在建</t>
        </is>
      </c>
    </row>
    <row r="641">
      <c r="A641" s="4" t="n">
        <v>638</v>
      </c>
      <c r="B641" s="5" t="inlineStr">
        <is>
          <t>PJ-2026-0638</t>
        </is>
      </c>
      <c r="C641" s="6" t="inlineStr">
        <is>
          <t>解放路医院改扩建项目（二期）</t>
        </is>
      </c>
      <c r="D641" s="4" t="inlineStr">
        <is>
          <t>高霞</t>
        </is>
      </c>
      <c r="E641" s="7" t="n">
        <v>3169</v>
      </c>
      <c r="F641" s="7" t="n">
        <v>3422.52</v>
      </c>
      <c r="G641" s="7">
        <f>E641-F641</f>
        <v/>
      </c>
      <c r="H641" s="8">
        <f>IFERROR(F641/E641,0)</f>
        <v/>
      </c>
      <c r="I641" s="4">
        <f>IF(H641&gt;=1,"超预算",IF(H641&gt;=0.9,"预警","正常"))</f>
        <v/>
      </c>
      <c r="J641" s="4">
        <f>RANK(F641,$F$4:$F$1203,0)</f>
        <v/>
      </c>
      <c r="K641" s="4" t="inlineStr">
        <is>
          <t>待启动</t>
        </is>
      </c>
    </row>
    <row r="642">
      <c r="A642" s="4" t="n">
        <v>639</v>
      </c>
      <c r="B642" s="5" t="inlineStr">
        <is>
          <t>PJ-2026-0639</t>
        </is>
      </c>
      <c r="C642" s="6" t="inlineStr">
        <is>
          <t>和平街公交枢纽建设工程（三期）</t>
        </is>
      </c>
      <c r="D642" s="4" t="inlineStr">
        <is>
          <t>林娜</t>
        </is>
      </c>
      <c r="E642" s="7" t="n">
        <v>3306</v>
      </c>
      <c r="F642" s="7" t="n">
        <v>2215.02</v>
      </c>
      <c r="G642" s="7">
        <f>E642-F642</f>
        <v/>
      </c>
      <c r="H642" s="8">
        <f>IFERROR(F642/E642,0)</f>
        <v/>
      </c>
      <c r="I642" s="4">
        <f>IF(H642&gt;=1,"超预算",IF(H642&gt;=0.9,"预警","正常"))</f>
        <v/>
      </c>
      <c r="J642" s="4">
        <f>RANK(F642,$F$4:$F$1203,0)</f>
        <v/>
      </c>
      <c r="K642" s="4" t="inlineStr">
        <is>
          <t>完工</t>
        </is>
      </c>
    </row>
    <row r="643">
      <c r="A643" s="4" t="n">
        <v>640</v>
      </c>
      <c r="B643" s="5" t="inlineStr">
        <is>
          <t>PJ-2026-0640</t>
        </is>
      </c>
      <c r="C643" s="6" t="inlineStr">
        <is>
          <t>光明街公共停车场建设工程（四期）</t>
        </is>
      </c>
      <c r="D643" s="4" t="inlineStr">
        <is>
          <t>罗洋</t>
        </is>
      </c>
      <c r="E643" s="7" t="n">
        <v>3443</v>
      </c>
      <c r="F643" s="7" t="n">
        <v>3305.28</v>
      </c>
      <c r="G643" s="7">
        <f>E643-F643</f>
        <v/>
      </c>
      <c r="H643" s="8">
        <f>IFERROR(F643/E643,0)</f>
        <v/>
      </c>
      <c r="I643" s="4">
        <f>IF(H643&gt;=1,"超预算",IF(H643&gt;=0.9,"预警","正常"))</f>
        <v/>
      </c>
      <c r="J643" s="4">
        <f>RANK(F643,$F$4:$F$1203,0)</f>
        <v/>
      </c>
      <c r="K643" s="4" t="inlineStr">
        <is>
          <t>在建</t>
        </is>
      </c>
    </row>
    <row r="644">
      <c r="A644" s="4" t="n">
        <v>641</v>
      </c>
      <c r="B644" s="5" t="inlineStr">
        <is>
          <t>PJ-2026-0641</t>
        </is>
      </c>
      <c r="C644" s="6" t="inlineStr">
        <is>
          <t>城东路道路改造工程</t>
        </is>
      </c>
      <c r="D644" s="4" t="inlineStr">
        <is>
          <t>张超</t>
        </is>
      </c>
      <c r="E644" s="7" t="n">
        <v>3580</v>
      </c>
      <c r="F644" s="7" t="n">
        <v>1969</v>
      </c>
      <c r="G644" s="7">
        <f>E644-F644</f>
        <v/>
      </c>
      <c r="H644" s="8">
        <f>IFERROR(F644/E644,0)</f>
        <v/>
      </c>
      <c r="I644" s="4">
        <f>IF(H644&gt;=1,"超预算",IF(H644&gt;=0.9,"预警","正常"))</f>
        <v/>
      </c>
      <c r="J644" s="4">
        <f>RANK(F644,$F$4:$F$1203,0)</f>
        <v/>
      </c>
      <c r="K644" s="4" t="inlineStr">
        <is>
          <t>待启动</t>
        </is>
      </c>
    </row>
    <row r="645">
      <c r="A645" s="4" t="n">
        <v>642</v>
      </c>
      <c r="B645" s="5" t="inlineStr">
        <is>
          <t>PJ-2026-0642</t>
        </is>
      </c>
      <c r="C645" s="6" t="inlineStr">
        <is>
          <t>解放路老旧小区改造项目（二期）</t>
        </is>
      </c>
      <c r="D645" s="4" t="inlineStr">
        <is>
          <t>王英</t>
        </is>
      </c>
      <c r="E645" s="7" t="n">
        <v>3717</v>
      </c>
      <c r="F645" s="7" t="n">
        <v>3122.28</v>
      </c>
      <c r="G645" s="7">
        <f>E645-F645</f>
        <v/>
      </c>
      <c r="H645" s="8">
        <f>IFERROR(F645/E645,0)</f>
        <v/>
      </c>
      <c r="I645" s="4">
        <f>IF(H645&gt;=1,"超预算",IF(H645&gt;=0.9,"预警","正常"))</f>
        <v/>
      </c>
      <c r="J645" s="4">
        <f>RANK(F645,$F$4:$F$1203,0)</f>
        <v/>
      </c>
      <c r="K645" s="4" t="inlineStr">
        <is>
          <t>完工</t>
        </is>
      </c>
    </row>
    <row r="646">
      <c r="A646" s="4" t="n">
        <v>643</v>
      </c>
      <c r="B646" s="5" t="inlineStr">
        <is>
          <t>PJ-2026-0643</t>
        </is>
      </c>
      <c r="C646" s="6" t="inlineStr">
        <is>
          <t>和平街智慧园区建设项目（三期）</t>
        </is>
      </c>
      <c r="D646" s="4" t="inlineStr">
        <is>
          <t>李强</t>
        </is>
      </c>
      <c r="E646" s="7" t="n">
        <v>3854</v>
      </c>
      <c r="F646" s="7" t="n">
        <v>4355.02</v>
      </c>
      <c r="G646" s="7">
        <f>E646-F646</f>
        <v/>
      </c>
      <c r="H646" s="8">
        <f>IFERROR(F646/E646,0)</f>
        <v/>
      </c>
      <c r="I646" s="4">
        <f>IF(H646&gt;=1,"超预算",IF(H646&gt;=0.9,"预警","正常"))</f>
        <v/>
      </c>
      <c r="J646" s="4">
        <f>RANK(F646,$F$4:$F$1203,0)</f>
        <v/>
      </c>
      <c r="K646" s="4" t="inlineStr">
        <is>
          <t>在建</t>
        </is>
      </c>
    </row>
    <row r="647">
      <c r="A647" s="4" t="n">
        <v>644</v>
      </c>
      <c r="B647" s="5" t="inlineStr">
        <is>
          <t>PJ-2026-0644</t>
        </is>
      </c>
      <c r="C647" s="6" t="inlineStr">
        <is>
          <t>光明街污水处理扩容工程（四期）</t>
        </is>
      </c>
      <c r="D647" s="4" t="inlineStr">
        <is>
          <t>赵娟</t>
        </is>
      </c>
      <c r="E647" s="7" t="n">
        <v>3991</v>
      </c>
      <c r="F647" s="7" t="n">
        <v>2873.52</v>
      </c>
      <c r="G647" s="7">
        <f>E647-F647</f>
        <v/>
      </c>
      <c r="H647" s="8">
        <f>IFERROR(F647/E647,0)</f>
        <v/>
      </c>
      <c r="I647" s="4">
        <f>IF(H647&gt;=1,"超预算",IF(H647&gt;=0.9,"预警","正常"))</f>
        <v/>
      </c>
      <c r="J647" s="4">
        <f>RANK(F647,$F$4:$F$1203,0)</f>
        <v/>
      </c>
      <c r="K647" s="4" t="inlineStr">
        <is>
          <t>待启动</t>
        </is>
      </c>
    </row>
    <row r="648">
      <c r="A648" s="4" t="n">
        <v>645</v>
      </c>
      <c r="B648" s="5" t="inlineStr">
        <is>
          <t>PJ-2026-0645</t>
        </is>
      </c>
      <c r="C648" s="6" t="inlineStr">
        <is>
          <t>城东路供水管网更新工程</t>
        </is>
      </c>
      <c r="D648" s="4" t="inlineStr">
        <is>
          <t>刘平</t>
        </is>
      </c>
      <c r="E648" s="7" t="n">
        <v>4128</v>
      </c>
      <c r="F648" s="7" t="n">
        <v>4169.28</v>
      </c>
      <c r="G648" s="7">
        <f>E648-F648</f>
        <v/>
      </c>
      <c r="H648" s="8">
        <f>IFERROR(F648/E648,0)</f>
        <v/>
      </c>
      <c r="I648" s="4">
        <f>IF(H648&gt;=1,"超预算",IF(H648&gt;=0.9,"预警","正常"))</f>
        <v/>
      </c>
      <c r="J648" s="4">
        <f>RANK(F648,$F$4:$F$1203,0)</f>
        <v/>
      </c>
      <c r="K648" s="4" t="inlineStr">
        <is>
          <t>完工</t>
        </is>
      </c>
    </row>
    <row r="649">
      <c r="A649" s="4" t="n">
        <v>646</v>
      </c>
      <c r="B649" s="5" t="inlineStr">
        <is>
          <t>PJ-2026-0646</t>
        </is>
      </c>
      <c r="C649" s="6" t="inlineStr">
        <is>
          <t>解放路河道综合整治工程（二期）</t>
        </is>
      </c>
      <c r="D649" s="4" t="inlineStr">
        <is>
          <t>陈敏</t>
        </is>
      </c>
      <c r="E649" s="7" t="n">
        <v>4265</v>
      </c>
      <c r="F649" s="7" t="n">
        <v>2559</v>
      </c>
      <c r="G649" s="7">
        <f>E649-F649</f>
        <v/>
      </c>
      <c r="H649" s="8">
        <f>IFERROR(F649/E649,0)</f>
        <v/>
      </c>
      <c r="I649" s="4">
        <f>IF(H649&gt;=1,"超预算",IF(H649&gt;=0.9,"预警","正常"))</f>
        <v/>
      </c>
      <c r="J649" s="4">
        <f>RANK(F649,$F$4:$F$1203,0)</f>
        <v/>
      </c>
      <c r="K649" s="4" t="inlineStr">
        <is>
          <t>在建</t>
        </is>
      </c>
    </row>
    <row r="650">
      <c r="A650" s="4" t="n">
        <v>647</v>
      </c>
      <c r="B650" s="5" t="inlineStr">
        <is>
          <t>PJ-2026-0647</t>
        </is>
      </c>
      <c r="C650" s="6" t="inlineStr">
        <is>
          <t>和平街学校新建工程（三期）</t>
        </is>
      </c>
      <c r="D650" s="4" t="inlineStr">
        <is>
          <t>杨勇</t>
        </is>
      </c>
      <c r="E650" s="7" t="n">
        <v>4402</v>
      </c>
      <c r="F650" s="7" t="n">
        <v>3917.78</v>
      </c>
      <c r="G650" s="7">
        <f>E650-F650</f>
        <v/>
      </c>
      <c r="H650" s="8">
        <f>IFERROR(F650/E650,0)</f>
        <v/>
      </c>
      <c r="I650" s="4">
        <f>IF(H650&gt;=1,"超预算",IF(H650&gt;=0.9,"预警","正常"))</f>
        <v/>
      </c>
      <c r="J650" s="4">
        <f>RANK(F650,$F$4:$F$1203,0)</f>
        <v/>
      </c>
      <c r="K650" s="4" t="inlineStr">
        <is>
          <t>待启动</t>
        </is>
      </c>
    </row>
    <row r="651">
      <c r="A651" s="4" t="n">
        <v>648</v>
      </c>
      <c r="B651" s="5" t="inlineStr">
        <is>
          <t>PJ-2026-0648</t>
        </is>
      </c>
      <c r="C651" s="6" t="inlineStr">
        <is>
          <t>光明街医院改扩建项目（四期）</t>
        </is>
      </c>
      <c r="D651" s="4" t="inlineStr">
        <is>
          <t>黄秀</t>
        </is>
      </c>
      <c r="E651" s="7" t="n">
        <v>4539</v>
      </c>
      <c r="F651" s="7" t="n">
        <v>2178.72</v>
      </c>
      <c r="G651" s="7">
        <f>E651-F651</f>
        <v/>
      </c>
      <c r="H651" s="8">
        <f>IFERROR(F651/E651,0)</f>
        <v/>
      </c>
      <c r="I651" s="4">
        <f>IF(H651&gt;=1,"超预算",IF(H651&gt;=0.9,"预警","正常"))</f>
        <v/>
      </c>
      <c r="J651" s="4">
        <f>RANK(F651,$F$4:$F$1203,0)</f>
        <v/>
      </c>
      <c r="K651" s="4" t="inlineStr">
        <is>
          <t>完工</t>
        </is>
      </c>
    </row>
    <row r="652">
      <c r="A652" s="4" t="n">
        <v>649</v>
      </c>
      <c r="B652" s="5" t="inlineStr">
        <is>
          <t>PJ-2026-0649</t>
        </is>
      </c>
      <c r="C652" s="6" t="inlineStr">
        <is>
          <t>城东路公交枢纽建设工程</t>
        </is>
      </c>
      <c r="D652" s="4" t="inlineStr">
        <is>
          <t>周伟</t>
        </is>
      </c>
      <c r="E652" s="7" t="n">
        <v>4676</v>
      </c>
      <c r="F652" s="7" t="n">
        <v>3600.52</v>
      </c>
      <c r="G652" s="7">
        <f>E652-F652</f>
        <v/>
      </c>
      <c r="H652" s="8">
        <f>IFERROR(F652/E652,0)</f>
        <v/>
      </c>
      <c r="I652" s="4">
        <f>IF(H652&gt;=1,"超预算",IF(H652&gt;=0.9,"预警","正常"))</f>
        <v/>
      </c>
      <c r="J652" s="4">
        <f>RANK(F652,$F$4:$F$1203,0)</f>
        <v/>
      </c>
      <c r="K652" s="4" t="inlineStr">
        <is>
          <t>在建</t>
        </is>
      </c>
    </row>
    <row r="653">
      <c r="A653" s="4" t="n">
        <v>650</v>
      </c>
      <c r="B653" s="5" t="inlineStr">
        <is>
          <t>PJ-2026-0650</t>
        </is>
      </c>
      <c r="C653" s="6" t="inlineStr">
        <is>
          <t>解放路公共停车场建设工程（二期）</t>
        </is>
      </c>
      <c r="D653" s="4" t="inlineStr">
        <is>
          <t>吴磊</t>
        </is>
      </c>
      <c r="E653" s="7" t="n">
        <v>4813</v>
      </c>
      <c r="F653" s="7" t="n">
        <v>5101.78</v>
      </c>
      <c r="G653" s="7">
        <f>E653-F653</f>
        <v/>
      </c>
      <c r="H653" s="8">
        <f>IFERROR(F653/E653,0)</f>
        <v/>
      </c>
      <c r="I653" s="4">
        <f>IF(H653&gt;=1,"超预算",IF(H653&gt;=0.9,"预警","正常"))</f>
        <v/>
      </c>
      <c r="J653" s="4">
        <f>RANK(F653,$F$4:$F$1203,0)</f>
        <v/>
      </c>
      <c r="K653" s="4" t="inlineStr">
        <is>
          <t>待启动</t>
        </is>
      </c>
    </row>
    <row r="654">
      <c r="A654" s="4" t="n">
        <v>651</v>
      </c>
      <c r="B654" s="5" t="inlineStr">
        <is>
          <t>PJ-2026-0651</t>
        </is>
      </c>
      <c r="C654" s="6" t="inlineStr">
        <is>
          <t>和平街道路改造工程（三期）</t>
        </is>
      </c>
      <c r="D654" s="4" t="inlineStr">
        <is>
          <t>徐涛</t>
        </is>
      </c>
      <c r="E654" s="7" t="n">
        <v>4950</v>
      </c>
      <c r="F654" s="7" t="n">
        <v>3217.5</v>
      </c>
      <c r="G654" s="7">
        <f>E654-F654</f>
        <v/>
      </c>
      <c r="H654" s="8">
        <f>IFERROR(F654/E654,0)</f>
        <v/>
      </c>
      <c r="I654" s="4">
        <f>IF(H654&gt;=1,"超预算",IF(H654&gt;=0.9,"预警","正常"))</f>
        <v/>
      </c>
      <c r="J654" s="4">
        <f>RANK(F654,$F$4:$F$1203,0)</f>
        <v/>
      </c>
      <c r="K654" s="4" t="inlineStr">
        <is>
          <t>完工</t>
        </is>
      </c>
    </row>
    <row r="655">
      <c r="A655" s="4" t="n">
        <v>652</v>
      </c>
      <c r="B655" s="5" t="inlineStr">
        <is>
          <t>PJ-2026-0652</t>
        </is>
      </c>
      <c r="C655" s="6" t="inlineStr">
        <is>
          <t>光明街老旧小区改造项目（四期）</t>
        </is>
      </c>
      <c r="D655" s="4" t="inlineStr">
        <is>
          <t>孙刚</t>
        </is>
      </c>
      <c r="E655" s="7" t="n">
        <v>137</v>
      </c>
      <c r="F655" s="7" t="n">
        <v>128.78</v>
      </c>
      <c r="G655" s="7">
        <f>E655-F655</f>
        <v/>
      </c>
      <c r="H655" s="8">
        <f>IFERROR(F655/E655,0)</f>
        <v/>
      </c>
      <c r="I655" s="4">
        <f>IF(H655&gt;=1,"超预算",IF(H655&gt;=0.9,"预警","正常"))</f>
        <v/>
      </c>
      <c r="J655" s="4">
        <f>RANK(F655,$F$4:$F$1203,0)</f>
        <v/>
      </c>
      <c r="K655" s="4" t="inlineStr">
        <is>
          <t>在建</t>
        </is>
      </c>
    </row>
    <row r="656">
      <c r="A656" s="4" t="n">
        <v>653</v>
      </c>
      <c r="B656" s="5" t="inlineStr">
        <is>
          <t>PJ-2026-0653</t>
        </is>
      </c>
      <c r="C656" s="6" t="inlineStr">
        <is>
          <t>城东路智慧园区建设项目</t>
        </is>
      </c>
      <c r="D656" s="4" t="inlineStr">
        <is>
          <t>马静</t>
        </is>
      </c>
      <c r="E656" s="7" t="n">
        <v>274</v>
      </c>
      <c r="F656" s="7" t="n">
        <v>145.22</v>
      </c>
      <c r="G656" s="7">
        <f>E656-F656</f>
        <v/>
      </c>
      <c r="H656" s="8">
        <f>IFERROR(F656/E656,0)</f>
        <v/>
      </c>
      <c r="I656" s="4">
        <f>IF(H656&gt;=1,"超预算",IF(H656&gt;=0.9,"预警","正常"))</f>
        <v/>
      </c>
      <c r="J656" s="4">
        <f>RANK(F656,$F$4:$F$1203,0)</f>
        <v/>
      </c>
      <c r="K656" s="4" t="inlineStr">
        <is>
          <t>待启动</t>
        </is>
      </c>
    </row>
    <row r="657">
      <c r="A657" s="4" t="n">
        <v>654</v>
      </c>
      <c r="B657" s="5" t="inlineStr">
        <is>
          <t>PJ-2026-0654</t>
        </is>
      </c>
      <c r="C657" s="6" t="inlineStr">
        <is>
          <t>解放路污水处理扩容工程（二期）</t>
        </is>
      </c>
      <c r="D657" s="4" t="inlineStr">
        <is>
          <t>朱艳</t>
        </is>
      </c>
      <c r="E657" s="7" t="n">
        <v>411</v>
      </c>
      <c r="F657" s="7" t="n">
        <v>337.02</v>
      </c>
      <c r="G657" s="7">
        <f>E657-F657</f>
        <v/>
      </c>
      <c r="H657" s="8">
        <f>IFERROR(F657/E657,0)</f>
        <v/>
      </c>
      <c r="I657" s="4">
        <f>IF(H657&gt;=1,"超预算",IF(H657&gt;=0.9,"预警","正常"))</f>
        <v/>
      </c>
      <c r="J657" s="4">
        <f>RANK(F657,$F$4:$F$1203,0)</f>
        <v/>
      </c>
      <c r="K657" s="4" t="inlineStr">
        <is>
          <t>完工</t>
        </is>
      </c>
    </row>
    <row r="658">
      <c r="A658" s="4" t="n">
        <v>655</v>
      </c>
      <c r="B658" s="5" t="inlineStr">
        <is>
          <t>PJ-2026-0655</t>
        </is>
      </c>
      <c r="C658" s="6" t="inlineStr">
        <is>
          <t>和平街供水管网更新工程（三期）</t>
        </is>
      </c>
      <c r="D658" s="4" t="inlineStr">
        <is>
          <t>胡英</t>
        </is>
      </c>
      <c r="E658" s="7" t="n">
        <v>548</v>
      </c>
      <c r="F658" s="7" t="n">
        <v>608.28</v>
      </c>
      <c r="G658" s="7">
        <f>E658-F658</f>
        <v/>
      </c>
      <c r="H658" s="8">
        <f>IFERROR(F658/E658,0)</f>
        <v/>
      </c>
      <c r="I658" s="4">
        <f>IF(H658&gt;=1,"超预算",IF(H658&gt;=0.9,"预警","正常"))</f>
        <v/>
      </c>
      <c r="J658" s="4">
        <f>RANK(F658,$F$4:$F$1203,0)</f>
        <v/>
      </c>
      <c r="K658" s="4" t="inlineStr">
        <is>
          <t>在建</t>
        </is>
      </c>
    </row>
    <row r="659">
      <c r="A659" s="4" t="n">
        <v>656</v>
      </c>
      <c r="B659" s="5" t="inlineStr">
        <is>
          <t>PJ-2026-0656</t>
        </is>
      </c>
      <c r="C659" s="6" t="inlineStr">
        <is>
          <t>光明街河道综合整治工程（四期）</t>
        </is>
      </c>
      <c r="D659" s="4" t="inlineStr">
        <is>
          <t>郭芳</t>
        </is>
      </c>
      <c r="E659" s="7" t="n">
        <v>685</v>
      </c>
      <c r="F659" s="7" t="n">
        <v>479.5</v>
      </c>
      <c r="G659" s="7">
        <f>E659-F659</f>
        <v/>
      </c>
      <c r="H659" s="8">
        <f>IFERROR(F659/E659,0)</f>
        <v/>
      </c>
      <c r="I659" s="4">
        <f>IF(H659&gt;=1,"超预算",IF(H659&gt;=0.9,"预警","正常"))</f>
        <v/>
      </c>
      <c r="J659" s="4">
        <f>RANK(F659,$F$4:$F$1203,0)</f>
        <v/>
      </c>
      <c r="K659" s="4" t="inlineStr">
        <is>
          <t>待启动</t>
        </is>
      </c>
    </row>
    <row r="660">
      <c r="A660" s="4" t="n">
        <v>657</v>
      </c>
      <c r="B660" s="5" t="inlineStr">
        <is>
          <t>PJ-2026-0657</t>
        </is>
      </c>
      <c r="C660" s="6" t="inlineStr">
        <is>
          <t>城东路学校新建工程</t>
        </is>
      </c>
      <c r="D660" s="4" t="inlineStr">
        <is>
          <t>何军</t>
        </is>
      </c>
      <c r="E660" s="7" t="n">
        <v>822</v>
      </c>
      <c r="F660" s="7" t="n">
        <v>813.78</v>
      </c>
      <c r="G660" s="7">
        <f>E660-F660</f>
        <v/>
      </c>
      <c r="H660" s="8">
        <f>IFERROR(F660/E660,0)</f>
        <v/>
      </c>
      <c r="I660" s="4">
        <f>IF(H660&gt;=1,"超预算",IF(H660&gt;=0.9,"预警","正常"))</f>
        <v/>
      </c>
      <c r="J660" s="4">
        <f>RANK(F660,$F$4:$F$1203,0)</f>
        <v/>
      </c>
      <c r="K660" s="4" t="inlineStr">
        <is>
          <t>完工</t>
        </is>
      </c>
    </row>
    <row r="661">
      <c r="A661" s="4" t="n">
        <v>658</v>
      </c>
      <c r="B661" s="5" t="inlineStr">
        <is>
          <t>PJ-2026-0658</t>
        </is>
      </c>
      <c r="C661" s="6" t="inlineStr">
        <is>
          <t>解放路医院改扩建项目（二期）</t>
        </is>
      </c>
      <c r="D661" s="4" t="inlineStr">
        <is>
          <t>高明</t>
        </is>
      </c>
      <c r="E661" s="7" t="n">
        <v>959</v>
      </c>
      <c r="F661" s="7" t="n">
        <v>556.22</v>
      </c>
      <c r="G661" s="7">
        <f>E661-F661</f>
        <v/>
      </c>
      <c r="H661" s="8">
        <f>IFERROR(F661/E661,0)</f>
        <v/>
      </c>
      <c r="I661" s="4">
        <f>IF(H661&gt;=1,"超预算",IF(H661&gt;=0.9,"预警","正常"))</f>
        <v/>
      </c>
      <c r="J661" s="4">
        <f>RANK(F661,$F$4:$F$1203,0)</f>
        <v/>
      </c>
      <c r="K661" s="4" t="inlineStr">
        <is>
          <t>在建</t>
        </is>
      </c>
    </row>
    <row r="662">
      <c r="A662" s="4" t="n">
        <v>659</v>
      </c>
      <c r="B662" s="5" t="inlineStr">
        <is>
          <t>PJ-2026-0659</t>
        </is>
      </c>
      <c r="C662" s="6" t="inlineStr">
        <is>
          <t>和平街公交枢纽建设工程（三期）</t>
        </is>
      </c>
      <c r="D662" s="4" t="inlineStr">
        <is>
          <t>林桂</t>
        </is>
      </c>
      <c r="E662" s="7" t="n">
        <v>1096</v>
      </c>
      <c r="F662" s="7" t="n">
        <v>953.52</v>
      </c>
      <c r="G662" s="7">
        <f>E662-F662</f>
        <v/>
      </c>
      <c r="H662" s="8">
        <f>IFERROR(F662/E662,0)</f>
        <v/>
      </c>
      <c r="I662" s="4">
        <f>IF(H662&gt;=1,"超预算",IF(H662&gt;=0.9,"预警","正常"))</f>
        <v/>
      </c>
      <c r="J662" s="4">
        <f>RANK(F662,$F$4:$F$1203,0)</f>
        <v/>
      </c>
      <c r="K662" s="4" t="inlineStr">
        <is>
          <t>待启动</t>
        </is>
      </c>
    </row>
    <row r="663">
      <c r="A663" s="4" t="n">
        <v>660</v>
      </c>
      <c r="B663" s="5" t="inlineStr">
        <is>
          <t>PJ-2026-0660</t>
        </is>
      </c>
      <c r="C663" s="6" t="inlineStr">
        <is>
          <t>光明街公共停车场建设工程（四期）</t>
        </is>
      </c>
      <c r="D663" s="4" t="inlineStr">
        <is>
          <t>罗丽</t>
        </is>
      </c>
      <c r="E663" s="7" t="n">
        <v>1233</v>
      </c>
      <c r="F663" s="7" t="n">
        <v>567.1799999999999</v>
      </c>
      <c r="G663" s="7">
        <f>E663-F663</f>
        <v/>
      </c>
      <c r="H663" s="8">
        <f>IFERROR(F663/E663,0)</f>
        <v/>
      </c>
      <c r="I663" s="4">
        <f>IF(H663&gt;=1,"超预算",IF(H663&gt;=0.9,"预警","正常"))</f>
        <v/>
      </c>
      <c r="J663" s="4">
        <f>RANK(F663,$F$4:$F$1203,0)</f>
        <v/>
      </c>
      <c r="K663" s="4" t="inlineStr">
        <is>
          <t>完工</t>
        </is>
      </c>
    </row>
    <row r="664">
      <c r="A664" s="4" t="n">
        <v>661</v>
      </c>
      <c r="B664" s="5" t="inlineStr">
        <is>
          <t>PJ-2026-0661</t>
        </is>
      </c>
      <c r="C664" s="6" t="inlineStr">
        <is>
          <t>城东路道路改造工程</t>
        </is>
      </c>
      <c r="D664" s="4" t="inlineStr">
        <is>
          <t>张杰</t>
        </is>
      </c>
      <c r="E664" s="7" t="n">
        <v>1370</v>
      </c>
      <c r="F664" s="7" t="n">
        <v>1027.5</v>
      </c>
      <c r="G664" s="7">
        <f>E664-F664</f>
        <v/>
      </c>
      <c r="H664" s="8">
        <f>IFERROR(F664/E664,0)</f>
        <v/>
      </c>
      <c r="I664" s="4">
        <f>IF(H664&gt;=1,"超预算",IF(H664&gt;=0.9,"预警","正常"))</f>
        <v/>
      </c>
      <c r="J664" s="4">
        <f>RANK(F664,$F$4:$F$1203,0)</f>
        <v/>
      </c>
      <c r="K664" s="4" t="inlineStr">
        <is>
          <t>在建</t>
        </is>
      </c>
    </row>
    <row r="665">
      <c r="A665" s="4" t="n">
        <v>662</v>
      </c>
      <c r="B665" s="5" t="inlineStr">
        <is>
          <t>PJ-2026-0662</t>
        </is>
      </c>
      <c r="C665" s="6" t="inlineStr">
        <is>
          <t>解放路老旧小区改造项目（二期）</t>
        </is>
      </c>
      <c r="D665" s="4" t="inlineStr">
        <is>
          <t>王霞</t>
        </is>
      </c>
      <c r="E665" s="7" t="n">
        <v>1507</v>
      </c>
      <c r="F665" s="7" t="n">
        <v>1567.28</v>
      </c>
      <c r="G665" s="7">
        <f>E665-F665</f>
        <v/>
      </c>
      <c r="H665" s="8">
        <f>IFERROR(F665/E665,0)</f>
        <v/>
      </c>
      <c r="I665" s="4">
        <f>IF(H665&gt;=1,"超预算",IF(H665&gt;=0.9,"预警","正常"))</f>
        <v/>
      </c>
      <c r="J665" s="4">
        <f>RANK(F665,$F$4:$F$1203,0)</f>
        <v/>
      </c>
      <c r="K665" s="4" t="inlineStr">
        <is>
          <t>待启动</t>
        </is>
      </c>
    </row>
    <row r="666">
      <c r="A666" s="4" t="n">
        <v>663</v>
      </c>
      <c r="B666" s="5" t="inlineStr">
        <is>
          <t>PJ-2026-0663</t>
        </is>
      </c>
      <c r="C666" s="6" t="inlineStr">
        <is>
          <t>和平街智慧园区建设项目（三期）</t>
        </is>
      </c>
      <c r="D666" s="4" t="inlineStr">
        <is>
          <t>李娜</t>
        </is>
      </c>
      <c r="E666" s="7" t="n">
        <v>1644</v>
      </c>
      <c r="F666" s="7" t="n">
        <v>1035.72</v>
      </c>
      <c r="G666" s="7">
        <f>E666-F666</f>
        <v/>
      </c>
      <c r="H666" s="8">
        <f>IFERROR(F666/E666,0)</f>
        <v/>
      </c>
      <c r="I666" s="4">
        <f>IF(H666&gt;=1,"超预算",IF(H666&gt;=0.9,"预警","正常"))</f>
        <v/>
      </c>
      <c r="J666" s="4">
        <f>RANK(F666,$F$4:$F$1203,0)</f>
        <v/>
      </c>
      <c r="K666" s="4" t="inlineStr">
        <is>
          <t>完工</t>
        </is>
      </c>
    </row>
    <row r="667">
      <c r="A667" s="4" t="n">
        <v>664</v>
      </c>
      <c r="B667" s="5" t="inlineStr">
        <is>
          <t>PJ-2026-0664</t>
        </is>
      </c>
      <c r="C667" s="6" t="inlineStr">
        <is>
          <t>光明街污水处理扩容工程（四期）</t>
        </is>
      </c>
      <c r="D667" s="4" t="inlineStr">
        <is>
          <t>赵洋</t>
        </is>
      </c>
      <c r="E667" s="7" t="n">
        <v>1781</v>
      </c>
      <c r="F667" s="7" t="n">
        <v>1638.52</v>
      </c>
      <c r="G667" s="7">
        <f>E667-F667</f>
        <v/>
      </c>
      <c r="H667" s="8">
        <f>IFERROR(F667/E667,0)</f>
        <v/>
      </c>
      <c r="I667" s="4">
        <f>IF(H667&gt;=1,"超预算",IF(H667&gt;=0.9,"预警","正常"))</f>
        <v/>
      </c>
      <c r="J667" s="4">
        <f>RANK(F667,$F$4:$F$1203,0)</f>
        <v/>
      </c>
      <c r="K667" s="4" t="inlineStr">
        <is>
          <t>在建</t>
        </is>
      </c>
    </row>
    <row r="668">
      <c r="A668" s="4" t="n">
        <v>665</v>
      </c>
      <c r="B668" s="5" t="inlineStr">
        <is>
          <t>PJ-2026-0665</t>
        </is>
      </c>
      <c r="C668" s="6" t="inlineStr">
        <is>
          <t>城东路供水管网更新工程</t>
        </is>
      </c>
      <c r="D668" s="4" t="inlineStr">
        <is>
          <t>刘超</t>
        </is>
      </c>
      <c r="E668" s="7" t="n">
        <v>1918</v>
      </c>
      <c r="F668" s="7" t="n">
        <v>978.1799999999999</v>
      </c>
      <c r="G668" s="7">
        <f>E668-F668</f>
        <v/>
      </c>
      <c r="H668" s="8">
        <f>IFERROR(F668/E668,0)</f>
        <v/>
      </c>
      <c r="I668" s="4">
        <f>IF(H668&gt;=1,"超预算",IF(H668&gt;=0.9,"预警","正常"))</f>
        <v/>
      </c>
      <c r="J668" s="4">
        <f>RANK(F668,$F$4:$F$1203,0)</f>
        <v/>
      </c>
      <c r="K668" s="4" t="inlineStr">
        <is>
          <t>待启动</t>
        </is>
      </c>
    </row>
    <row r="669">
      <c r="A669" s="4" t="n">
        <v>666</v>
      </c>
      <c r="B669" s="5" t="inlineStr">
        <is>
          <t>PJ-2026-0666</t>
        </is>
      </c>
      <c r="C669" s="6" t="inlineStr">
        <is>
          <t>解放路河道综合整治工程（二期）</t>
        </is>
      </c>
      <c r="D669" s="4" t="inlineStr">
        <is>
          <t>陈英</t>
        </is>
      </c>
      <c r="E669" s="7" t="n">
        <v>2055</v>
      </c>
      <c r="F669" s="7" t="n">
        <v>1644</v>
      </c>
      <c r="G669" s="7">
        <f>E669-F669</f>
        <v/>
      </c>
      <c r="H669" s="8">
        <f>IFERROR(F669/E669,0)</f>
        <v/>
      </c>
      <c r="I669" s="4">
        <f>IF(H669&gt;=1,"超预算",IF(H669&gt;=0.9,"预警","正常"))</f>
        <v/>
      </c>
      <c r="J669" s="4">
        <f>RANK(F669,$F$4:$F$1203,0)</f>
        <v/>
      </c>
      <c r="K669" s="4" t="inlineStr">
        <is>
          <t>完工</t>
        </is>
      </c>
    </row>
    <row r="670">
      <c r="A670" s="4" t="n">
        <v>667</v>
      </c>
      <c r="B670" s="5" t="inlineStr">
        <is>
          <t>PJ-2026-0667</t>
        </is>
      </c>
      <c r="C670" s="6" t="inlineStr">
        <is>
          <t>和平街学校新建工程（三期）</t>
        </is>
      </c>
      <c r="D670" s="4" t="inlineStr">
        <is>
          <t>杨强</t>
        </is>
      </c>
      <c r="E670" s="7" t="n">
        <v>2192</v>
      </c>
      <c r="F670" s="7" t="n">
        <v>2389.28</v>
      </c>
      <c r="G670" s="7">
        <f>E670-F670</f>
        <v/>
      </c>
      <c r="H670" s="8">
        <f>IFERROR(F670/E670,0)</f>
        <v/>
      </c>
      <c r="I670" s="4">
        <f>IF(H670&gt;=1,"超预算",IF(H670&gt;=0.9,"预警","正常"))</f>
        <v/>
      </c>
      <c r="J670" s="4">
        <f>RANK(F670,$F$4:$F$1203,0)</f>
        <v/>
      </c>
      <c r="K670" s="4" t="inlineStr">
        <is>
          <t>在建</t>
        </is>
      </c>
    </row>
    <row r="671">
      <c r="A671" s="4" t="n">
        <v>668</v>
      </c>
      <c r="B671" s="5" t="inlineStr">
        <is>
          <t>PJ-2026-0668</t>
        </is>
      </c>
      <c r="C671" s="6" t="inlineStr">
        <is>
          <t>光明街医院改扩建项目（四期）</t>
        </is>
      </c>
      <c r="D671" s="4" t="inlineStr">
        <is>
          <t>黄娟</t>
        </is>
      </c>
      <c r="E671" s="7" t="n">
        <v>2329</v>
      </c>
      <c r="F671" s="7" t="n">
        <v>1583.72</v>
      </c>
      <c r="G671" s="7">
        <f>E671-F671</f>
        <v/>
      </c>
      <c r="H671" s="8">
        <f>IFERROR(F671/E671,0)</f>
        <v/>
      </c>
      <c r="I671" s="4">
        <f>IF(H671&gt;=1,"超预算",IF(H671&gt;=0.9,"预警","正常"))</f>
        <v/>
      </c>
      <c r="J671" s="4">
        <f>RANK(F671,$F$4:$F$1203,0)</f>
        <v/>
      </c>
      <c r="K671" s="4" t="inlineStr">
        <is>
          <t>待启动</t>
        </is>
      </c>
    </row>
    <row r="672">
      <c r="A672" s="4" t="n">
        <v>669</v>
      </c>
      <c r="B672" s="5" t="inlineStr">
        <is>
          <t>PJ-2026-0669</t>
        </is>
      </c>
      <c r="C672" s="6" t="inlineStr">
        <is>
          <t>城东路公交枢纽建设工程</t>
        </is>
      </c>
      <c r="D672" s="4" t="inlineStr">
        <is>
          <t>周平</t>
        </is>
      </c>
      <c r="E672" s="7" t="n">
        <v>2466</v>
      </c>
      <c r="F672" s="7" t="n">
        <v>2392.02</v>
      </c>
      <c r="G672" s="7">
        <f>E672-F672</f>
        <v/>
      </c>
      <c r="H672" s="8">
        <f>IFERROR(F672/E672,0)</f>
        <v/>
      </c>
      <c r="I672" s="4">
        <f>IF(H672&gt;=1,"超预算",IF(H672&gt;=0.9,"预警","正常"))</f>
        <v/>
      </c>
      <c r="J672" s="4">
        <f>RANK(F672,$F$4:$F$1203,0)</f>
        <v/>
      </c>
      <c r="K672" s="4" t="inlineStr">
        <is>
          <t>完工</t>
        </is>
      </c>
    </row>
    <row r="673">
      <c r="A673" s="4" t="n">
        <v>670</v>
      </c>
      <c r="B673" s="5" t="inlineStr">
        <is>
          <t>PJ-2026-0670</t>
        </is>
      </c>
      <c r="C673" s="6" t="inlineStr">
        <is>
          <t>解放路公共停车场建设工程（二期）</t>
        </is>
      </c>
      <c r="D673" s="4" t="inlineStr">
        <is>
          <t>吴敏</t>
        </is>
      </c>
      <c r="E673" s="7" t="n">
        <v>2603</v>
      </c>
      <c r="F673" s="7" t="n">
        <v>1457.68</v>
      </c>
      <c r="G673" s="7">
        <f>E673-F673</f>
        <v/>
      </c>
      <c r="H673" s="8">
        <f>IFERROR(F673/E673,0)</f>
        <v/>
      </c>
      <c r="I673" s="4">
        <f>IF(H673&gt;=1,"超预算",IF(H673&gt;=0.9,"预警","正常"))</f>
        <v/>
      </c>
      <c r="J673" s="4">
        <f>RANK(F673,$F$4:$F$1203,0)</f>
        <v/>
      </c>
      <c r="K673" s="4" t="inlineStr">
        <is>
          <t>在建</t>
        </is>
      </c>
    </row>
    <row r="674">
      <c r="A674" s="4" t="n">
        <v>671</v>
      </c>
      <c r="B674" s="5" t="inlineStr">
        <is>
          <t>PJ-2026-0671</t>
        </is>
      </c>
      <c r="C674" s="6" t="inlineStr">
        <is>
          <t>和平街道路改造工程（三期）</t>
        </is>
      </c>
      <c r="D674" s="4" t="inlineStr">
        <is>
          <t>徐勇</t>
        </is>
      </c>
      <c r="E674" s="7" t="n">
        <v>2740</v>
      </c>
      <c r="F674" s="7" t="n">
        <v>2329</v>
      </c>
      <c r="G674" s="7">
        <f>E674-F674</f>
        <v/>
      </c>
      <c r="H674" s="8">
        <f>IFERROR(F674/E674,0)</f>
        <v/>
      </c>
      <c r="I674" s="4">
        <f>IF(H674&gt;=1,"超预算",IF(H674&gt;=0.9,"预警","正常"))</f>
        <v/>
      </c>
      <c r="J674" s="4">
        <f>RANK(F674,$F$4:$F$1203,0)</f>
        <v/>
      </c>
      <c r="K674" s="4" t="inlineStr">
        <is>
          <t>待启动</t>
        </is>
      </c>
    </row>
    <row r="675">
      <c r="A675" s="4" t="n">
        <v>672</v>
      </c>
      <c r="B675" s="5" t="inlineStr">
        <is>
          <t>PJ-2026-0672</t>
        </is>
      </c>
      <c r="C675" s="6" t="inlineStr">
        <is>
          <t>光明街老旧小区改造项目（四期）</t>
        </is>
      </c>
      <c r="D675" s="4" t="inlineStr">
        <is>
          <t>孙秀</t>
        </is>
      </c>
      <c r="E675" s="7" t="n">
        <v>2877</v>
      </c>
      <c r="F675" s="7" t="n">
        <v>3279.78</v>
      </c>
      <c r="G675" s="7">
        <f>E675-F675</f>
        <v/>
      </c>
      <c r="H675" s="8">
        <f>IFERROR(F675/E675,0)</f>
        <v/>
      </c>
      <c r="I675" s="4">
        <f>IF(H675&gt;=1,"超预算",IF(H675&gt;=0.9,"预警","正常"))</f>
        <v/>
      </c>
      <c r="J675" s="4">
        <f>RANK(F675,$F$4:$F$1203,0)</f>
        <v/>
      </c>
      <c r="K675" s="4" t="inlineStr">
        <is>
          <t>完工</t>
        </is>
      </c>
    </row>
    <row r="676">
      <c r="A676" s="4" t="n">
        <v>673</v>
      </c>
      <c r="B676" s="5" t="inlineStr">
        <is>
          <t>PJ-2026-0673</t>
        </is>
      </c>
      <c r="C676" s="6" t="inlineStr">
        <is>
          <t>城东路智慧园区建设项目</t>
        </is>
      </c>
      <c r="D676" s="4" t="inlineStr">
        <is>
          <t>马伟</t>
        </is>
      </c>
      <c r="E676" s="7" t="n">
        <v>3014</v>
      </c>
      <c r="F676" s="7" t="n">
        <v>2200.22</v>
      </c>
      <c r="G676" s="7">
        <f>E676-F676</f>
        <v/>
      </c>
      <c r="H676" s="8">
        <f>IFERROR(F676/E676,0)</f>
        <v/>
      </c>
      <c r="I676" s="4">
        <f>IF(H676&gt;=1,"超预算",IF(H676&gt;=0.9,"预警","正常"))</f>
        <v/>
      </c>
      <c r="J676" s="4">
        <f>RANK(F676,$F$4:$F$1203,0)</f>
        <v/>
      </c>
      <c r="K676" s="4" t="inlineStr">
        <is>
          <t>在建</t>
        </is>
      </c>
    </row>
    <row r="677">
      <c r="A677" s="4" t="n">
        <v>674</v>
      </c>
      <c r="B677" s="5" t="inlineStr">
        <is>
          <t>PJ-2026-0674</t>
        </is>
      </c>
      <c r="C677" s="6" t="inlineStr">
        <is>
          <t>解放路污水处理扩容工程（二期）</t>
        </is>
      </c>
      <c r="D677" s="4" t="inlineStr">
        <is>
          <t>朱磊</t>
        </is>
      </c>
      <c r="E677" s="7" t="n">
        <v>3151</v>
      </c>
      <c r="F677" s="7" t="n">
        <v>3214.02</v>
      </c>
      <c r="G677" s="7">
        <f>E677-F677</f>
        <v/>
      </c>
      <c r="H677" s="8">
        <f>IFERROR(F677/E677,0)</f>
        <v/>
      </c>
      <c r="I677" s="4">
        <f>IF(H677&gt;=1,"超预算",IF(H677&gt;=0.9,"预警","正常"))</f>
        <v/>
      </c>
      <c r="J677" s="4">
        <f>RANK(F677,$F$4:$F$1203,0)</f>
        <v/>
      </c>
      <c r="K677" s="4" t="inlineStr">
        <is>
          <t>待启动</t>
        </is>
      </c>
    </row>
    <row r="678">
      <c r="A678" s="4" t="n">
        <v>675</v>
      </c>
      <c r="B678" s="5" t="inlineStr">
        <is>
          <t>PJ-2026-0675</t>
        </is>
      </c>
      <c r="C678" s="6" t="inlineStr">
        <is>
          <t>和平街供水管网更新工程（三期）</t>
        </is>
      </c>
      <c r="D678" s="4" t="inlineStr">
        <is>
          <t>胡涛</t>
        </is>
      </c>
      <c r="E678" s="7" t="n">
        <v>3288</v>
      </c>
      <c r="F678" s="7" t="n">
        <v>2005.68</v>
      </c>
      <c r="G678" s="7">
        <f>E678-F678</f>
        <v/>
      </c>
      <c r="H678" s="8">
        <f>IFERROR(F678/E678,0)</f>
        <v/>
      </c>
      <c r="I678" s="4">
        <f>IF(H678&gt;=1,"超预算",IF(H678&gt;=0.9,"预警","正常"))</f>
        <v/>
      </c>
      <c r="J678" s="4">
        <f>RANK(F678,$F$4:$F$1203,0)</f>
        <v/>
      </c>
      <c r="K678" s="4" t="inlineStr">
        <is>
          <t>完工</t>
        </is>
      </c>
    </row>
    <row r="679">
      <c r="A679" s="4" t="n">
        <v>676</v>
      </c>
      <c r="B679" s="5" t="inlineStr">
        <is>
          <t>PJ-2026-0676</t>
        </is>
      </c>
      <c r="C679" s="6" t="inlineStr">
        <is>
          <t>光明街河道综合整治工程（四期）</t>
        </is>
      </c>
      <c r="D679" s="4" t="inlineStr">
        <is>
          <t>郭刚</t>
        </is>
      </c>
      <c r="E679" s="7" t="n">
        <v>3425</v>
      </c>
      <c r="F679" s="7" t="n">
        <v>3082.5</v>
      </c>
      <c r="G679" s="7">
        <f>E679-F679</f>
        <v/>
      </c>
      <c r="H679" s="8">
        <f>IFERROR(F679/E679,0)</f>
        <v/>
      </c>
      <c r="I679" s="4">
        <f>IF(H679&gt;=1,"超预算",IF(H679&gt;=0.9,"预警","正常"))</f>
        <v/>
      </c>
      <c r="J679" s="4">
        <f>RANK(F679,$F$4:$F$1203,0)</f>
        <v/>
      </c>
      <c r="K679" s="4" t="inlineStr">
        <is>
          <t>在建</t>
        </is>
      </c>
    </row>
    <row r="680">
      <c r="A680" s="4" t="n">
        <v>677</v>
      </c>
      <c r="B680" s="5" t="inlineStr">
        <is>
          <t>PJ-2026-0677</t>
        </is>
      </c>
      <c r="C680" s="6" t="inlineStr">
        <is>
          <t>城东路学校新建工程</t>
        </is>
      </c>
      <c r="D680" s="4" t="inlineStr">
        <is>
          <t>何静</t>
        </is>
      </c>
      <c r="E680" s="7" t="n">
        <v>3562</v>
      </c>
      <c r="F680" s="7" t="n">
        <v>1745.38</v>
      </c>
      <c r="G680" s="7">
        <f>E680-F680</f>
        <v/>
      </c>
      <c r="H680" s="8">
        <f>IFERROR(F680/E680,0)</f>
        <v/>
      </c>
      <c r="I680" s="4">
        <f>IF(H680&gt;=1,"超预算",IF(H680&gt;=0.9,"预警","正常"))</f>
        <v/>
      </c>
      <c r="J680" s="4">
        <f>RANK(F680,$F$4:$F$1203,0)</f>
        <v/>
      </c>
      <c r="K680" s="4" t="inlineStr">
        <is>
          <t>待启动</t>
        </is>
      </c>
    </row>
    <row r="681">
      <c r="A681" s="4" t="n">
        <v>678</v>
      </c>
      <c r="B681" s="5" t="inlineStr">
        <is>
          <t>PJ-2026-0678</t>
        </is>
      </c>
      <c r="C681" s="6" t="inlineStr">
        <is>
          <t>解放路医院改扩建项目（二期）</t>
        </is>
      </c>
      <c r="D681" s="4" t="inlineStr">
        <is>
          <t>高艳</t>
        </is>
      </c>
      <c r="E681" s="7" t="n">
        <v>3699</v>
      </c>
      <c r="F681" s="7" t="n">
        <v>2885.22</v>
      </c>
      <c r="G681" s="7">
        <f>E681-F681</f>
        <v/>
      </c>
      <c r="H681" s="8">
        <f>IFERROR(F681/E681,0)</f>
        <v/>
      </c>
      <c r="I681" s="4">
        <f>IF(H681&gt;=1,"超预算",IF(H681&gt;=0.9,"预警","正常"))</f>
        <v/>
      </c>
      <c r="J681" s="4">
        <f>RANK(F681,$F$4:$F$1203,0)</f>
        <v/>
      </c>
      <c r="K681" s="4" t="inlineStr">
        <is>
          <t>完工</t>
        </is>
      </c>
    </row>
    <row r="682">
      <c r="A682" s="4" t="n">
        <v>679</v>
      </c>
      <c r="B682" s="5" t="inlineStr">
        <is>
          <t>PJ-2026-0679</t>
        </is>
      </c>
      <c r="C682" s="6" t="inlineStr">
        <is>
          <t>和平街公交枢纽建设工程（三期）</t>
        </is>
      </c>
      <c r="D682" s="4" t="inlineStr">
        <is>
          <t>林英</t>
        </is>
      </c>
      <c r="E682" s="7" t="n">
        <v>3836</v>
      </c>
      <c r="F682" s="7" t="n">
        <v>4104.52</v>
      </c>
      <c r="G682" s="7">
        <f>E682-F682</f>
        <v/>
      </c>
      <c r="H682" s="8">
        <f>IFERROR(F682/E682,0)</f>
        <v/>
      </c>
      <c r="I682" s="4">
        <f>IF(H682&gt;=1,"超预算",IF(H682&gt;=0.9,"预警","正常"))</f>
        <v/>
      </c>
      <c r="J682" s="4">
        <f>RANK(F682,$F$4:$F$1203,0)</f>
        <v/>
      </c>
      <c r="K682" s="4" t="inlineStr">
        <is>
          <t>在建</t>
        </is>
      </c>
    </row>
    <row r="683">
      <c r="A683" s="4" t="n">
        <v>680</v>
      </c>
      <c r="B683" s="5" t="inlineStr">
        <is>
          <t>PJ-2026-0680</t>
        </is>
      </c>
      <c r="C683" s="6" t="inlineStr">
        <is>
          <t>光明街公共停车场建设工程（四期）</t>
        </is>
      </c>
      <c r="D683" s="4" t="inlineStr">
        <is>
          <t>罗芳</t>
        </is>
      </c>
      <c r="E683" s="7" t="n">
        <v>3973</v>
      </c>
      <c r="F683" s="7" t="n">
        <v>2622.18</v>
      </c>
      <c r="G683" s="7">
        <f>E683-F683</f>
        <v/>
      </c>
      <c r="H683" s="8">
        <f>IFERROR(F683/E683,0)</f>
        <v/>
      </c>
      <c r="I683" s="4">
        <f>IF(H683&gt;=1,"超预算",IF(H683&gt;=0.9,"预警","正常"))</f>
        <v/>
      </c>
      <c r="J683" s="4">
        <f>RANK(F683,$F$4:$F$1203,0)</f>
        <v/>
      </c>
      <c r="K683" s="4" t="inlineStr">
        <is>
          <t>待启动</t>
        </is>
      </c>
    </row>
    <row r="684">
      <c r="A684" s="4" t="n">
        <v>681</v>
      </c>
      <c r="B684" s="5" t="inlineStr">
        <is>
          <t>PJ-2026-0681</t>
        </is>
      </c>
      <c r="C684" s="6" t="inlineStr">
        <is>
          <t>城东路道路改造工程</t>
        </is>
      </c>
      <c r="D684" s="4" t="inlineStr">
        <is>
          <t>张军</t>
        </is>
      </c>
      <c r="E684" s="7" t="n">
        <v>4110</v>
      </c>
      <c r="F684" s="7" t="n">
        <v>3904.5</v>
      </c>
      <c r="G684" s="7">
        <f>E684-F684</f>
        <v/>
      </c>
      <c r="H684" s="8">
        <f>IFERROR(F684/E684,0)</f>
        <v/>
      </c>
      <c r="I684" s="4">
        <f>IF(H684&gt;=1,"超预算",IF(H684&gt;=0.9,"预警","正常"))</f>
        <v/>
      </c>
      <c r="J684" s="4">
        <f>RANK(F684,$F$4:$F$1203,0)</f>
        <v/>
      </c>
      <c r="K684" s="4" t="inlineStr">
        <is>
          <t>完工</t>
        </is>
      </c>
    </row>
    <row r="685">
      <c r="A685" s="4" t="n">
        <v>682</v>
      </c>
      <c r="B685" s="5" t="inlineStr">
        <is>
          <t>PJ-2026-0682</t>
        </is>
      </c>
      <c r="C685" s="6" t="inlineStr">
        <is>
          <t>解放路老旧小区改造项目（二期）</t>
        </is>
      </c>
      <c r="D685" s="4" t="inlineStr">
        <is>
          <t>王明</t>
        </is>
      </c>
      <c r="E685" s="7" t="n">
        <v>4247</v>
      </c>
      <c r="F685" s="7" t="n">
        <v>2293.38</v>
      </c>
      <c r="G685" s="7">
        <f>E685-F685</f>
        <v/>
      </c>
      <c r="H685" s="8">
        <f>IFERROR(F685/E685,0)</f>
        <v/>
      </c>
      <c r="I685" s="4">
        <f>IF(H685&gt;=1,"超预算",IF(H685&gt;=0.9,"预警","正常"))</f>
        <v/>
      </c>
      <c r="J685" s="4">
        <f>RANK(F685,$F$4:$F$1203,0)</f>
        <v/>
      </c>
      <c r="K685" s="4" t="inlineStr">
        <is>
          <t>在建</t>
        </is>
      </c>
    </row>
    <row r="686">
      <c r="A686" s="4" t="n">
        <v>683</v>
      </c>
      <c r="B686" s="5" t="inlineStr">
        <is>
          <t>PJ-2026-0683</t>
        </is>
      </c>
      <c r="C686" s="6" t="inlineStr">
        <is>
          <t>和平街智慧园区建设项目（三期）</t>
        </is>
      </c>
      <c r="D686" s="4" t="inlineStr">
        <is>
          <t>李桂</t>
        </is>
      </c>
      <c r="E686" s="7" t="n">
        <v>4384</v>
      </c>
      <c r="F686" s="7" t="n">
        <v>3638.72</v>
      </c>
      <c r="G686" s="7">
        <f>E686-F686</f>
        <v/>
      </c>
      <c r="H686" s="8">
        <f>IFERROR(F686/E686,0)</f>
        <v/>
      </c>
      <c r="I686" s="4">
        <f>IF(H686&gt;=1,"超预算",IF(H686&gt;=0.9,"预警","正常"))</f>
        <v/>
      </c>
      <c r="J686" s="4">
        <f>RANK(F686,$F$4:$F$1203,0)</f>
        <v/>
      </c>
      <c r="K686" s="4" t="inlineStr">
        <is>
          <t>待启动</t>
        </is>
      </c>
    </row>
    <row r="687">
      <c r="A687" s="4" t="n">
        <v>684</v>
      </c>
      <c r="B687" s="5" t="inlineStr">
        <is>
          <t>PJ-2026-0684</t>
        </is>
      </c>
      <c r="C687" s="6" t="inlineStr">
        <is>
          <t>光明街污水处理扩容工程（四期）</t>
        </is>
      </c>
      <c r="D687" s="4" t="inlineStr">
        <is>
          <t>赵丽</t>
        </is>
      </c>
      <c r="E687" s="7" t="n">
        <v>4521</v>
      </c>
      <c r="F687" s="7" t="n">
        <v>5063.52</v>
      </c>
      <c r="G687" s="7">
        <f>E687-F687</f>
        <v/>
      </c>
      <c r="H687" s="8">
        <f>IFERROR(F687/E687,0)</f>
        <v/>
      </c>
      <c r="I687" s="4">
        <f>IF(H687&gt;=1,"超预算",IF(H687&gt;=0.9,"预警","正常"))</f>
        <v/>
      </c>
      <c r="J687" s="4">
        <f>RANK(F687,$F$4:$F$1203,0)</f>
        <v/>
      </c>
      <c r="K687" s="4" t="inlineStr">
        <is>
          <t>完工</t>
        </is>
      </c>
    </row>
    <row r="688">
      <c r="A688" s="4" t="n">
        <v>685</v>
      </c>
      <c r="B688" s="5" t="inlineStr">
        <is>
          <t>PJ-2026-0685</t>
        </is>
      </c>
      <c r="C688" s="6" t="inlineStr">
        <is>
          <t>城东路供水管网更新工程</t>
        </is>
      </c>
      <c r="D688" s="4" t="inlineStr">
        <is>
          <t>刘杰</t>
        </is>
      </c>
      <c r="E688" s="7" t="n">
        <v>4658</v>
      </c>
      <c r="F688" s="7" t="n">
        <v>3307.18</v>
      </c>
      <c r="G688" s="7">
        <f>E688-F688</f>
        <v/>
      </c>
      <c r="H688" s="8">
        <f>IFERROR(F688/E688,0)</f>
        <v/>
      </c>
      <c r="I688" s="4">
        <f>IF(H688&gt;=1,"超预算",IF(H688&gt;=0.9,"预警","正常"))</f>
        <v/>
      </c>
      <c r="J688" s="4">
        <f>RANK(F688,$F$4:$F$1203,0)</f>
        <v/>
      </c>
      <c r="K688" s="4" t="inlineStr">
        <is>
          <t>在建</t>
        </is>
      </c>
    </row>
    <row r="689">
      <c r="A689" s="4" t="n">
        <v>686</v>
      </c>
      <c r="B689" s="5" t="inlineStr">
        <is>
          <t>PJ-2026-0686</t>
        </is>
      </c>
      <c r="C689" s="6" t="inlineStr">
        <is>
          <t>解放路河道综合整治工程（二期）</t>
        </is>
      </c>
      <c r="D689" s="4" t="inlineStr">
        <is>
          <t>陈霞</t>
        </is>
      </c>
      <c r="E689" s="7" t="n">
        <v>4795</v>
      </c>
      <c r="F689" s="7" t="n">
        <v>4795</v>
      </c>
      <c r="G689" s="7">
        <f>E689-F689</f>
        <v/>
      </c>
      <c r="H689" s="8">
        <f>IFERROR(F689/E689,0)</f>
        <v/>
      </c>
      <c r="I689" s="4">
        <f>IF(H689&gt;=1,"超预算",IF(H689&gt;=0.9,"预警","正常"))</f>
        <v/>
      </c>
      <c r="J689" s="4">
        <f>RANK(F689,$F$4:$F$1203,0)</f>
        <v/>
      </c>
      <c r="K689" s="4" t="inlineStr">
        <is>
          <t>待启动</t>
        </is>
      </c>
    </row>
    <row r="690">
      <c r="A690" s="4" t="n">
        <v>687</v>
      </c>
      <c r="B690" s="5" t="inlineStr">
        <is>
          <t>PJ-2026-0687</t>
        </is>
      </c>
      <c r="C690" s="6" t="inlineStr">
        <is>
          <t>和平街学校新建工程（三期）</t>
        </is>
      </c>
      <c r="D690" s="4" t="inlineStr">
        <is>
          <t>杨娜</t>
        </is>
      </c>
      <c r="E690" s="7" t="n">
        <v>4932</v>
      </c>
      <c r="F690" s="7" t="n">
        <v>2909.88</v>
      </c>
      <c r="G690" s="7">
        <f>E690-F690</f>
        <v/>
      </c>
      <c r="H690" s="8">
        <f>IFERROR(F690/E690,0)</f>
        <v/>
      </c>
      <c r="I690" s="4">
        <f>IF(H690&gt;=1,"超预算",IF(H690&gt;=0.9,"预警","正常"))</f>
        <v/>
      </c>
      <c r="J690" s="4">
        <f>RANK(F690,$F$4:$F$1203,0)</f>
        <v/>
      </c>
      <c r="K690" s="4" t="inlineStr">
        <is>
          <t>完工</t>
        </is>
      </c>
    </row>
    <row r="691">
      <c r="A691" s="4" t="n">
        <v>688</v>
      </c>
      <c r="B691" s="5" t="inlineStr">
        <is>
          <t>PJ-2026-0688</t>
        </is>
      </c>
      <c r="C691" s="6" t="inlineStr">
        <is>
          <t>光明街医院改扩建项目（四期）</t>
        </is>
      </c>
      <c r="D691" s="4" t="inlineStr">
        <is>
          <t>黄洋</t>
        </is>
      </c>
      <c r="E691" s="7" t="n">
        <v>119</v>
      </c>
      <c r="F691" s="7" t="n">
        <v>104.72</v>
      </c>
      <c r="G691" s="7">
        <f>E691-F691</f>
        <v/>
      </c>
      <c r="H691" s="8">
        <f>IFERROR(F691/E691,0)</f>
        <v/>
      </c>
      <c r="I691" s="4">
        <f>IF(H691&gt;=1,"超预算",IF(H691&gt;=0.9,"预警","正常"))</f>
        <v/>
      </c>
      <c r="J691" s="4">
        <f>RANK(F691,$F$4:$F$1203,0)</f>
        <v/>
      </c>
      <c r="K691" s="4" t="inlineStr">
        <is>
          <t>在建</t>
        </is>
      </c>
    </row>
    <row r="692">
      <c r="A692" s="4" t="n">
        <v>689</v>
      </c>
      <c r="B692" s="5" t="inlineStr">
        <is>
          <t>PJ-2026-0689</t>
        </is>
      </c>
      <c r="C692" s="6" t="inlineStr">
        <is>
          <t>城东路公交枢纽建设工程</t>
        </is>
      </c>
      <c r="D692" s="4" t="inlineStr">
        <is>
          <t>周超</t>
        </is>
      </c>
      <c r="E692" s="7" t="n">
        <v>256</v>
      </c>
      <c r="F692" s="7" t="n">
        <v>120.32</v>
      </c>
      <c r="G692" s="7">
        <f>E692-F692</f>
        <v/>
      </c>
      <c r="H692" s="8">
        <f>IFERROR(F692/E692,0)</f>
        <v/>
      </c>
      <c r="I692" s="4">
        <f>IF(H692&gt;=1,"超预算",IF(H692&gt;=0.9,"预警","正常"))</f>
        <v/>
      </c>
      <c r="J692" s="4">
        <f>RANK(F692,$F$4:$F$1203,0)</f>
        <v/>
      </c>
      <c r="K692" s="4" t="inlineStr">
        <is>
          <t>待启动</t>
        </is>
      </c>
    </row>
    <row r="693">
      <c r="A693" s="4" t="n">
        <v>690</v>
      </c>
      <c r="B693" s="5" t="inlineStr">
        <is>
          <t>PJ-2026-0690</t>
        </is>
      </c>
      <c r="C693" s="6" t="inlineStr">
        <is>
          <t>解放路公共停车场建设工程（二期）</t>
        </is>
      </c>
      <c r="D693" s="4" t="inlineStr">
        <is>
          <t>吴英</t>
        </is>
      </c>
      <c r="E693" s="7" t="n">
        <v>393</v>
      </c>
      <c r="F693" s="7" t="n">
        <v>298.68</v>
      </c>
      <c r="G693" s="7">
        <f>E693-F693</f>
        <v/>
      </c>
      <c r="H693" s="8">
        <f>IFERROR(F693/E693,0)</f>
        <v/>
      </c>
      <c r="I693" s="4">
        <f>IF(H693&gt;=1,"超预算",IF(H693&gt;=0.9,"预警","正常"))</f>
        <v/>
      </c>
      <c r="J693" s="4">
        <f>RANK(F693,$F$4:$F$1203,0)</f>
        <v/>
      </c>
      <c r="K693" s="4" t="inlineStr">
        <is>
          <t>完工</t>
        </is>
      </c>
    </row>
    <row r="694">
      <c r="A694" s="4" t="n">
        <v>691</v>
      </c>
      <c r="B694" s="5" t="inlineStr">
        <is>
          <t>PJ-2026-0691</t>
        </is>
      </c>
      <c r="C694" s="6" t="inlineStr">
        <is>
          <t>和平街道路改造工程（三期）</t>
        </is>
      </c>
      <c r="D694" s="4" t="inlineStr">
        <is>
          <t>徐强</t>
        </is>
      </c>
      <c r="E694" s="7" t="n">
        <v>530</v>
      </c>
      <c r="F694" s="7" t="n">
        <v>556.5</v>
      </c>
      <c r="G694" s="7">
        <f>E694-F694</f>
        <v/>
      </c>
      <c r="H694" s="8">
        <f>IFERROR(F694/E694,0)</f>
        <v/>
      </c>
      <c r="I694" s="4">
        <f>IF(H694&gt;=1,"超预算",IF(H694&gt;=0.9,"预警","正常"))</f>
        <v/>
      </c>
      <c r="J694" s="4">
        <f>RANK(F694,$F$4:$F$1203,0)</f>
        <v/>
      </c>
      <c r="K694" s="4" t="inlineStr">
        <is>
          <t>在建</t>
        </is>
      </c>
    </row>
    <row r="695">
      <c r="A695" s="4" t="n">
        <v>692</v>
      </c>
      <c r="B695" s="5" t="inlineStr">
        <is>
          <t>PJ-2026-0692</t>
        </is>
      </c>
      <c r="C695" s="6" t="inlineStr">
        <is>
          <t>光明街老旧小区改造项目（四期）</t>
        </is>
      </c>
      <c r="D695" s="4" t="inlineStr">
        <is>
          <t>孙娟</t>
        </is>
      </c>
      <c r="E695" s="7" t="n">
        <v>667</v>
      </c>
      <c r="F695" s="7" t="n">
        <v>426.88</v>
      </c>
      <c r="G695" s="7">
        <f>E695-F695</f>
        <v/>
      </c>
      <c r="H695" s="8">
        <f>IFERROR(F695/E695,0)</f>
        <v/>
      </c>
      <c r="I695" s="4">
        <f>IF(H695&gt;=1,"超预算",IF(H695&gt;=0.9,"预警","正常"))</f>
        <v/>
      </c>
      <c r="J695" s="4">
        <f>RANK(F695,$F$4:$F$1203,0)</f>
        <v/>
      </c>
      <c r="K695" s="4" t="inlineStr">
        <is>
          <t>待启动</t>
        </is>
      </c>
    </row>
    <row r="696">
      <c r="A696" s="4" t="n">
        <v>693</v>
      </c>
      <c r="B696" s="5" t="inlineStr">
        <is>
          <t>PJ-2026-0693</t>
        </is>
      </c>
      <c r="C696" s="6" t="inlineStr">
        <is>
          <t>城东路智慧园区建设项目</t>
        </is>
      </c>
      <c r="D696" s="4" t="inlineStr">
        <is>
          <t>马平</t>
        </is>
      </c>
      <c r="E696" s="7" t="n">
        <v>804</v>
      </c>
      <c r="F696" s="7" t="n">
        <v>747.72</v>
      </c>
      <c r="G696" s="7">
        <f>E696-F696</f>
        <v/>
      </c>
      <c r="H696" s="8">
        <f>IFERROR(F696/E696,0)</f>
        <v/>
      </c>
      <c r="I696" s="4">
        <f>IF(H696&gt;=1,"超预算",IF(H696&gt;=0.9,"预警","正常"))</f>
        <v/>
      </c>
      <c r="J696" s="4">
        <f>RANK(F696,$F$4:$F$1203,0)</f>
        <v/>
      </c>
      <c r="K696" s="4" t="inlineStr">
        <is>
          <t>完工</t>
        </is>
      </c>
    </row>
    <row r="697">
      <c r="A697" s="4" t="n">
        <v>694</v>
      </c>
      <c r="B697" s="5" t="inlineStr">
        <is>
          <t>PJ-2026-0694</t>
        </is>
      </c>
      <c r="C697" s="6" t="inlineStr">
        <is>
          <t>解放路污水处理扩容工程（二期）</t>
        </is>
      </c>
      <c r="D697" s="4" t="inlineStr">
        <is>
          <t>朱敏</t>
        </is>
      </c>
      <c r="E697" s="7" t="n">
        <v>941</v>
      </c>
      <c r="F697" s="7" t="n">
        <v>489.32</v>
      </c>
      <c r="G697" s="7">
        <f>E697-F697</f>
        <v/>
      </c>
      <c r="H697" s="8">
        <f>IFERROR(F697/E697,0)</f>
        <v/>
      </c>
      <c r="I697" s="4">
        <f>IF(H697&gt;=1,"超预算",IF(H697&gt;=0.9,"预警","正常"))</f>
        <v/>
      </c>
      <c r="J697" s="4">
        <f>RANK(F697,$F$4:$F$1203,0)</f>
        <v/>
      </c>
      <c r="K697" s="4" t="inlineStr">
        <is>
          <t>在建</t>
        </is>
      </c>
    </row>
    <row r="698">
      <c r="A698" s="4" t="n">
        <v>695</v>
      </c>
      <c r="B698" s="5" t="inlineStr">
        <is>
          <t>PJ-2026-0695</t>
        </is>
      </c>
      <c r="C698" s="6" t="inlineStr">
        <is>
          <t>和平街供水管网更新工程（三期）</t>
        </is>
      </c>
      <c r="D698" s="4" t="inlineStr">
        <is>
          <t>胡勇</t>
        </is>
      </c>
      <c r="E698" s="7" t="n">
        <v>1078</v>
      </c>
      <c r="F698" s="7" t="n">
        <v>873.1799999999999</v>
      </c>
      <c r="G698" s="7">
        <f>E698-F698</f>
        <v/>
      </c>
      <c r="H698" s="8">
        <f>IFERROR(F698/E698,0)</f>
        <v/>
      </c>
      <c r="I698" s="4">
        <f>IF(H698&gt;=1,"超预算",IF(H698&gt;=0.9,"预警","正常"))</f>
        <v/>
      </c>
      <c r="J698" s="4">
        <f>RANK(F698,$F$4:$F$1203,0)</f>
        <v/>
      </c>
      <c r="K698" s="4" t="inlineStr">
        <is>
          <t>待启动</t>
        </is>
      </c>
    </row>
    <row r="699">
      <c r="A699" s="4" t="n">
        <v>696</v>
      </c>
      <c r="B699" s="5" t="inlineStr">
        <is>
          <t>PJ-2026-0696</t>
        </is>
      </c>
      <c r="C699" s="6" t="inlineStr">
        <is>
          <t>光明街河道综合整治工程（四期）</t>
        </is>
      </c>
      <c r="D699" s="4" t="inlineStr">
        <is>
          <t>郭秀</t>
        </is>
      </c>
      <c r="E699" s="7" t="n">
        <v>1215</v>
      </c>
      <c r="F699" s="7" t="n">
        <v>1336.5</v>
      </c>
      <c r="G699" s="7">
        <f>E699-F699</f>
        <v/>
      </c>
      <c r="H699" s="8">
        <f>IFERROR(F699/E699,0)</f>
        <v/>
      </c>
      <c r="I699" s="4">
        <f>IF(H699&gt;=1,"超预算",IF(H699&gt;=0.9,"预警","正常"))</f>
        <v/>
      </c>
      <c r="J699" s="4">
        <f>RANK(F699,$F$4:$F$1203,0)</f>
        <v/>
      </c>
      <c r="K699" s="4" t="inlineStr">
        <is>
          <t>完工</t>
        </is>
      </c>
    </row>
    <row r="700">
      <c r="A700" s="4" t="n">
        <v>697</v>
      </c>
      <c r="B700" s="5" t="inlineStr">
        <is>
          <t>PJ-2026-0697</t>
        </is>
      </c>
      <c r="C700" s="6" t="inlineStr">
        <is>
          <t>城东路学校新建工程</t>
        </is>
      </c>
      <c r="D700" s="4" t="inlineStr">
        <is>
          <t>何伟</t>
        </is>
      </c>
      <c r="E700" s="7" t="n">
        <v>1352</v>
      </c>
      <c r="F700" s="7" t="n">
        <v>932.88</v>
      </c>
      <c r="G700" s="7">
        <f>E700-F700</f>
        <v/>
      </c>
      <c r="H700" s="8">
        <f>IFERROR(F700/E700,0)</f>
        <v/>
      </c>
      <c r="I700" s="4">
        <f>IF(H700&gt;=1,"超预算",IF(H700&gt;=0.9,"预警","正常"))</f>
        <v/>
      </c>
      <c r="J700" s="4">
        <f>RANK(F700,$F$4:$F$1203,0)</f>
        <v/>
      </c>
      <c r="K700" s="4" t="inlineStr">
        <is>
          <t>在建</t>
        </is>
      </c>
    </row>
    <row r="701">
      <c r="A701" s="4" t="n">
        <v>698</v>
      </c>
      <c r="B701" s="5" t="inlineStr">
        <is>
          <t>PJ-2026-0698</t>
        </is>
      </c>
      <c r="C701" s="6" t="inlineStr">
        <is>
          <t>解放路医院改扩建项目（二期）</t>
        </is>
      </c>
      <c r="D701" s="4" t="inlineStr">
        <is>
          <t>高磊</t>
        </is>
      </c>
      <c r="E701" s="7" t="n">
        <v>1489</v>
      </c>
      <c r="F701" s="7" t="n">
        <v>1459.22</v>
      </c>
      <c r="G701" s="7">
        <f>E701-F701</f>
        <v/>
      </c>
      <c r="H701" s="8">
        <f>IFERROR(F701/E701,0)</f>
        <v/>
      </c>
      <c r="I701" s="4">
        <f>IF(H701&gt;=1,"超预算",IF(H701&gt;=0.9,"预警","正常"))</f>
        <v/>
      </c>
      <c r="J701" s="4">
        <f>RANK(F701,$F$4:$F$1203,0)</f>
        <v/>
      </c>
      <c r="K701" s="4" t="inlineStr">
        <is>
          <t>待启动</t>
        </is>
      </c>
    </row>
    <row r="702">
      <c r="A702" s="4" t="n">
        <v>699</v>
      </c>
      <c r="B702" s="5" t="inlineStr">
        <is>
          <t>PJ-2026-0699</t>
        </is>
      </c>
      <c r="C702" s="6" t="inlineStr">
        <is>
          <t>和平街公交枢纽建设工程（三期）</t>
        </is>
      </c>
      <c r="D702" s="4" t="inlineStr">
        <is>
          <t>林涛</t>
        </is>
      </c>
      <c r="E702" s="7" t="n">
        <v>1626</v>
      </c>
      <c r="F702" s="7" t="n">
        <v>926.8200000000001</v>
      </c>
      <c r="G702" s="7">
        <f>E702-F702</f>
        <v/>
      </c>
      <c r="H702" s="8">
        <f>IFERROR(F702/E702,0)</f>
        <v/>
      </c>
      <c r="I702" s="4">
        <f>IF(H702&gt;=1,"超预算",IF(H702&gt;=0.9,"预警","正常"))</f>
        <v/>
      </c>
      <c r="J702" s="4">
        <f>RANK(F702,$F$4:$F$1203,0)</f>
        <v/>
      </c>
      <c r="K702" s="4" t="inlineStr">
        <is>
          <t>完工</t>
        </is>
      </c>
    </row>
    <row r="703">
      <c r="A703" s="4" t="n">
        <v>700</v>
      </c>
      <c r="B703" s="5" t="inlineStr">
        <is>
          <t>PJ-2026-0700</t>
        </is>
      </c>
      <c r="C703" s="6" t="inlineStr">
        <is>
          <t>光明街公共停车场建设工程（四期）</t>
        </is>
      </c>
      <c r="D703" s="4" t="inlineStr">
        <is>
          <t>罗刚</t>
        </is>
      </c>
      <c r="E703" s="7" t="n">
        <v>1763</v>
      </c>
      <c r="F703" s="7" t="n">
        <v>1516.18</v>
      </c>
      <c r="G703" s="7">
        <f>E703-F703</f>
        <v/>
      </c>
      <c r="H703" s="8">
        <f>IFERROR(F703/E703,0)</f>
        <v/>
      </c>
      <c r="I703" s="4">
        <f>IF(H703&gt;=1,"超预算",IF(H703&gt;=0.9,"预警","正常"))</f>
        <v/>
      </c>
      <c r="J703" s="4">
        <f>RANK(F703,$F$4:$F$1203,0)</f>
        <v/>
      </c>
      <c r="K703" s="4" t="inlineStr">
        <is>
          <t>在建</t>
        </is>
      </c>
    </row>
    <row r="704">
      <c r="A704" s="4" t="n">
        <v>701</v>
      </c>
      <c r="B704" s="5" t="inlineStr">
        <is>
          <t>PJ-2026-0701</t>
        </is>
      </c>
      <c r="C704" s="6" t="inlineStr">
        <is>
          <t>城东路道路改造工程</t>
        </is>
      </c>
      <c r="D704" s="4" t="inlineStr">
        <is>
          <t>张静</t>
        </is>
      </c>
      <c r="E704" s="7" t="n">
        <v>1900</v>
      </c>
      <c r="F704" s="7" t="n">
        <v>855</v>
      </c>
      <c r="G704" s="7">
        <f>E704-F704</f>
        <v/>
      </c>
      <c r="H704" s="8">
        <f>IFERROR(F704/E704,0)</f>
        <v/>
      </c>
      <c r="I704" s="4">
        <f>IF(H704&gt;=1,"超预算",IF(H704&gt;=0.9,"预警","正常"))</f>
        <v/>
      </c>
      <c r="J704" s="4">
        <f>RANK(F704,$F$4:$F$1203,0)</f>
        <v/>
      </c>
      <c r="K704" s="4" t="inlineStr">
        <is>
          <t>待启动</t>
        </is>
      </c>
    </row>
    <row r="705">
      <c r="A705" s="4" t="n">
        <v>702</v>
      </c>
      <c r="B705" s="5" t="inlineStr">
        <is>
          <t>PJ-2026-0702</t>
        </is>
      </c>
      <c r="C705" s="6" t="inlineStr">
        <is>
          <t>解放路老旧小区改造项目（二期）</t>
        </is>
      </c>
      <c r="D705" s="4" t="inlineStr">
        <is>
          <t>王艳</t>
        </is>
      </c>
      <c r="E705" s="7" t="n">
        <v>2037</v>
      </c>
      <c r="F705" s="7" t="n">
        <v>1507.38</v>
      </c>
      <c r="G705" s="7">
        <f>E705-F705</f>
        <v/>
      </c>
      <c r="H705" s="8">
        <f>IFERROR(F705/E705,0)</f>
        <v/>
      </c>
      <c r="I705" s="4">
        <f>IF(H705&gt;=1,"超预算",IF(H705&gt;=0.9,"预警","正常"))</f>
        <v/>
      </c>
      <c r="J705" s="4">
        <f>RANK(F705,$F$4:$F$1203,0)</f>
        <v/>
      </c>
      <c r="K705" s="4" t="inlineStr">
        <is>
          <t>完工</t>
        </is>
      </c>
    </row>
    <row r="706">
      <c r="A706" s="4" t="n">
        <v>703</v>
      </c>
      <c r="B706" s="5" t="inlineStr">
        <is>
          <t>PJ-2026-0703</t>
        </is>
      </c>
      <c r="C706" s="6" t="inlineStr">
        <is>
          <t>和平街智慧园区建设项目（三期）</t>
        </is>
      </c>
      <c r="D706" s="4" t="inlineStr">
        <is>
          <t>李英</t>
        </is>
      </c>
      <c r="E706" s="7" t="n">
        <v>2174</v>
      </c>
      <c r="F706" s="7" t="n">
        <v>2239.22</v>
      </c>
      <c r="G706" s="7">
        <f>E706-F706</f>
        <v/>
      </c>
      <c r="H706" s="8">
        <f>IFERROR(F706/E706,0)</f>
        <v/>
      </c>
      <c r="I706" s="4">
        <f>IF(H706&gt;=1,"超预算",IF(H706&gt;=0.9,"预警","正常"))</f>
        <v/>
      </c>
      <c r="J706" s="4">
        <f>RANK(F706,$F$4:$F$1203,0)</f>
        <v/>
      </c>
      <c r="K706" s="4" t="inlineStr">
        <is>
          <t>在建</t>
        </is>
      </c>
    </row>
    <row r="707">
      <c r="A707" s="4" t="n">
        <v>704</v>
      </c>
      <c r="B707" s="5" t="inlineStr">
        <is>
          <t>PJ-2026-0704</t>
        </is>
      </c>
      <c r="C707" s="6" t="inlineStr">
        <is>
          <t>光明街污水处理扩容工程（四期）</t>
        </is>
      </c>
      <c r="D707" s="4" t="inlineStr">
        <is>
          <t>赵芳</t>
        </is>
      </c>
      <c r="E707" s="7" t="n">
        <v>2311</v>
      </c>
      <c r="F707" s="7" t="n">
        <v>1432.82</v>
      </c>
      <c r="G707" s="7">
        <f>E707-F707</f>
        <v/>
      </c>
      <c r="H707" s="8">
        <f>IFERROR(F707/E707,0)</f>
        <v/>
      </c>
      <c r="I707" s="4">
        <f>IF(H707&gt;=1,"超预算",IF(H707&gt;=0.9,"预警","正常"))</f>
        <v/>
      </c>
      <c r="J707" s="4">
        <f>RANK(F707,$F$4:$F$1203,0)</f>
        <v/>
      </c>
      <c r="K707" s="4" t="inlineStr">
        <is>
          <t>待启动</t>
        </is>
      </c>
    </row>
    <row r="708">
      <c r="A708" s="4" t="n">
        <v>705</v>
      </c>
      <c r="B708" s="5" t="inlineStr">
        <is>
          <t>PJ-2026-0705</t>
        </is>
      </c>
      <c r="C708" s="6" t="inlineStr">
        <is>
          <t>城东路供水管网更新工程</t>
        </is>
      </c>
      <c r="D708" s="4" t="inlineStr">
        <is>
          <t>刘军</t>
        </is>
      </c>
      <c r="E708" s="7" t="n">
        <v>2448</v>
      </c>
      <c r="F708" s="7" t="n">
        <v>2227.68</v>
      </c>
      <c r="G708" s="7">
        <f>E708-F708</f>
        <v/>
      </c>
      <c r="H708" s="8">
        <f>IFERROR(F708/E708,0)</f>
        <v/>
      </c>
      <c r="I708" s="4">
        <f>IF(H708&gt;=1,"超预算",IF(H708&gt;=0.9,"预警","正常"))</f>
        <v/>
      </c>
      <c r="J708" s="4">
        <f>RANK(F708,$F$4:$F$1203,0)</f>
        <v/>
      </c>
      <c r="K708" s="4" t="inlineStr">
        <is>
          <t>完工</t>
        </is>
      </c>
    </row>
    <row r="709">
      <c r="A709" s="4" t="n">
        <v>706</v>
      </c>
      <c r="B709" s="5" t="inlineStr">
        <is>
          <t>PJ-2026-0706</t>
        </is>
      </c>
      <c r="C709" s="6" t="inlineStr">
        <is>
          <t>解放路河道综合整治工程（二期）</t>
        </is>
      </c>
      <c r="D709" s="4" t="inlineStr">
        <is>
          <t>陈明</t>
        </is>
      </c>
      <c r="E709" s="7" t="n">
        <v>2585</v>
      </c>
      <c r="F709" s="7" t="n">
        <v>1292.5</v>
      </c>
      <c r="G709" s="7">
        <f>E709-F709</f>
        <v/>
      </c>
      <c r="H709" s="8">
        <f>IFERROR(F709/E709,0)</f>
        <v/>
      </c>
      <c r="I709" s="4">
        <f>IF(H709&gt;=1,"超预算",IF(H709&gt;=0.9,"预警","正常"))</f>
        <v/>
      </c>
      <c r="J709" s="4">
        <f>RANK(F709,$F$4:$F$1203,0)</f>
        <v/>
      </c>
      <c r="K709" s="4" t="inlineStr">
        <is>
          <t>在建</t>
        </is>
      </c>
    </row>
    <row r="710">
      <c r="A710" s="4" t="n">
        <v>707</v>
      </c>
      <c r="B710" s="5" t="inlineStr">
        <is>
          <t>PJ-2026-0707</t>
        </is>
      </c>
      <c r="C710" s="6" t="inlineStr">
        <is>
          <t>和平街学校新建工程（三期）</t>
        </is>
      </c>
      <c r="D710" s="4" t="inlineStr">
        <is>
          <t>杨桂</t>
        </is>
      </c>
      <c r="E710" s="7" t="n">
        <v>2722</v>
      </c>
      <c r="F710" s="7" t="n">
        <v>2150.38</v>
      </c>
      <c r="G710" s="7">
        <f>E710-F710</f>
        <v/>
      </c>
      <c r="H710" s="8">
        <f>IFERROR(F710/E710,0)</f>
        <v/>
      </c>
      <c r="I710" s="4">
        <f>IF(H710&gt;=1,"超预算",IF(H710&gt;=0.9,"预警","正常"))</f>
        <v/>
      </c>
      <c r="J710" s="4">
        <f>RANK(F710,$F$4:$F$1203,0)</f>
        <v/>
      </c>
      <c r="K710" s="4" t="inlineStr">
        <is>
          <t>待启动</t>
        </is>
      </c>
    </row>
    <row r="711">
      <c r="A711" s="4" t="n">
        <v>708</v>
      </c>
      <c r="B711" s="5" t="inlineStr">
        <is>
          <t>PJ-2026-0708</t>
        </is>
      </c>
      <c r="C711" s="6" t="inlineStr">
        <is>
          <t>光明街医院改扩建项目（四期）</t>
        </is>
      </c>
      <c r="D711" s="4" t="inlineStr">
        <is>
          <t>黄丽</t>
        </is>
      </c>
      <c r="E711" s="7" t="n">
        <v>2859</v>
      </c>
      <c r="F711" s="7" t="n">
        <v>3087.72</v>
      </c>
      <c r="G711" s="7">
        <f>E711-F711</f>
        <v/>
      </c>
      <c r="H711" s="8">
        <f>IFERROR(F711/E711,0)</f>
        <v/>
      </c>
      <c r="I711" s="4">
        <f>IF(H711&gt;=1,"超预算",IF(H711&gt;=0.9,"预警","正常"))</f>
        <v/>
      </c>
      <c r="J711" s="4">
        <f>RANK(F711,$F$4:$F$1203,0)</f>
        <v/>
      </c>
      <c r="K711" s="4" t="inlineStr">
        <is>
          <t>完工</t>
        </is>
      </c>
    </row>
    <row r="712">
      <c r="A712" s="4" t="n">
        <v>709</v>
      </c>
      <c r="B712" s="5" t="inlineStr">
        <is>
          <t>PJ-2026-0709</t>
        </is>
      </c>
      <c r="C712" s="6" t="inlineStr">
        <is>
          <t>城东路公交枢纽建设工程</t>
        </is>
      </c>
      <c r="D712" s="4" t="inlineStr">
        <is>
          <t>周杰</t>
        </is>
      </c>
      <c r="E712" s="7" t="n">
        <v>2996</v>
      </c>
      <c r="F712" s="7" t="n">
        <v>2007.32</v>
      </c>
      <c r="G712" s="7">
        <f>E712-F712</f>
        <v/>
      </c>
      <c r="H712" s="8">
        <f>IFERROR(F712/E712,0)</f>
        <v/>
      </c>
      <c r="I712" s="4">
        <f>IF(H712&gt;=1,"超预算",IF(H712&gt;=0.9,"预警","正常"))</f>
        <v/>
      </c>
      <c r="J712" s="4">
        <f>RANK(F712,$F$4:$F$1203,0)</f>
        <v/>
      </c>
      <c r="K712" s="4" t="inlineStr">
        <is>
          <t>在建</t>
        </is>
      </c>
    </row>
    <row r="713">
      <c r="A713" s="4" t="n">
        <v>710</v>
      </c>
      <c r="B713" s="5" t="inlineStr">
        <is>
          <t>PJ-2026-0710</t>
        </is>
      </c>
      <c r="C713" s="6" t="inlineStr">
        <is>
          <t>解放路公共停车场建设工程（二期）</t>
        </is>
      </c>
      <c r="D713" s="4" t="inlineStr">
        <is>
          <t>吴霞</t>
        </is>
      </c>
      <c r="E713" s="7" t="n">
        <v>3133</v>
      </c>
      <c r="F713" s="7" t="n">
        <v>3007.68</v>
      </c>
      <c r="G713" s="7">
        <f>E713-F713</f>
        <v/>
      </c>
      <c r="H713" s="8">
        <f>IFERROR(F713/E713,0)</f>
        <v/>
      </c>
      <c r="I713" s="4">
        <f>IF(H713&gt;=1,"超预算",IF(H713&gt;=0.9,"预警","正常"))</f>
        <v/>
      </c>
      <c r="J713" s="4">
        <f>RANK(F713,$F$4:$F$1203,0)</f>
        <v/>
      </c>
      <c r="K713" s="4" t="inlineStr">
        <is>
          <t>待启动</t>
        </is>
      </c>
    </row>
    <row r="714">
      <c r="A714" s="4" t="n">
        <v>711</v>
      </c>
      <c r="B714" s="5" t="inlineStr">
        <is>
          <t>PJ-2026-0711</t>
        </is>
      </c>
      <c r="C714" s="6" t="inlineStr">
        <is>
          <t>和平街道路改造工程（三期）</t>
        </is>
      </c>
      <c r="D714" s="4" t="inlineStr">
        <is>
          <t>徐娜</t>
        </is>
      </c>
      <c r="E714" s="7" t="n">
        <v>3270</v>
      </c>
      <c r="F714" s="7" t="n">
        <v>1798.5</v>
      </c>
      <c r="G714" s="7">
        <f>E714-F714</f>
        <v/>
      </c>
      <c r="H714" s="8">
        <f>IFERROR(F714/E714,0)</f>
        <v/>
      </c>
      <c r="I714" s="4">
        <f>IF(H714&gt;=1,"超预算",IF(H714&gt;=0.9,"预警","正常"))</f>
        <v/>
      </c>
      <c r="J714" s="4">
        <f>RANK(F714,$F$4:$F$1203,0)</f>
        <v/>
      </c>
      <c r="K714" s="4" t="inlineStr">
        <is>
          <t>完工</t>
        </is>
      </c>
    </row>
    <row r="715">
      <c r="A715" s="4" t="n">
        <v>712</v>
      </c>
      <c r="B715" s="5" t="inlineStr">
        <is>
          <t>PJ-2026-0712</t>
        </is>
      </c>
      <c r="C715" s="6" t="inlineStr">
        <is>
          <t>光明街老旧小区改造项目（四期）</t>
        </is>
      </c>
      <c r="D715" s="4" t="inlineStr">
        <is>
          <t>孙洋</t>
        </is>
      </c>
      <c r="E715" s="7" t="n">
        <v>3407</v>
      </c>
      <c r="F715" s="7" t="n">
        <v>2861.88</v>
      </c>
      <c r="G715" s="7">
        <f>E715-F715</f>
        <v/>
      </c>
      <c r="H715" s="8">
        <f>IFERROR(F715/E715,0)</f>
        <v/>
      </c>
      <c r="I715" s="4">
        <f>IF(H715&gt;=1,"超预算",IF(H715&gt;=0.9,"预警","正常"))</f>
        <v/>
      </c>
      <c r="J715" s="4">
        <f>RANK(F715,$F$4:$F$1203,0)</f>
        <v/>
      </c>
      <c r="K715" s="4" t="inlineStr">
        <is>
          <t>在建</t>
        </is>
      </c>
    </row>
    <row r="716">
      <c r="A716" s="4" t="n">
        <v>713</v>
      </c>
      <c r="B716" s="5" t="inlineStr">
        <is>
          <t>PJ-2026-0713</t>
        </is>
      </c>
      <c r="C716" s="6" t="inlineStr">
        <is>
          <t>城东路智慧园区建设项目</t>
        </is>
      </c>
      <c r="D716" s="4" t="inlineStr">
        <is>
          <t>马超</t>
        </is>
      </c>
      <c r="E716" s="7" t="n">
        <v>3544</v>
      </c>
      <c r="F716" s="7" t="n">
        <v>4004.72</v>
      </c>
      <c r="G716" s="7">
        <f>E716-F716</f>
        <v/>
      </c>
      <c r="H716" s="8">
        <f>IFERROR(F716/E716,0)</f>
        <v/>
      </c>
      <c r="I716" s="4">
        <f>IF(H716&gt;=1,"超预算",IF(H716&gt;=0.9,"预警","正常"))</f>
        <v/>
      </c>
      <c r="J716" s="4">
        <f>RANK(F716,$F$4:$F$1203,0)</f>
        <v/>
      </c>
      <c r="K716" s="4" t="inlineStr">
        <is>
          <t>待启动</t>
        </is>
      </c>
    </row>
    <row r="717">
      <c r="A717" s="4" t="n">
        <v>714</v>
      </c>
      <c r="B717" s="5" t="inlineStr">
        <is>
          <t>PJ-2026-0714</t>
        </is>
      </c>
      <c r="C717" s="6" t="inlineStr">
        <is>
          <t>解放路污水处理扩容工程（二期）</t>
        </is>
      </c>
      <c r="D717" s="4" t="inlineStr">
        <is>
          <t>朱英</t>
        </is>
      </c>
      <c r="E717" s="7" t="n">
        <v>3681</v>
      </c>
      <c r="F717" s="7" t="n">
        <v>2650.32</v>
      </c>
      <c r="G717" s="7">
        <f>E717-F717</f>
        <v/>
      </c>
      <c r="H717" s="8">
        <f>IFERROR(F717/E717,0)</f>
        <v/>
      </c>
      <c r="I717" s="4">
        <f>IF(H717&gt;=1,"超预算",IF(H717&gt;=0.9,"预警","正常"))</f>
        <v/>
      </c>
      <c r="J717" s="4">
        <f>RANK(F717,$F$4:$F$1203,0)</f>
        <v/>
      </c>
      <c r="K717" s="4" t="inlineStr">
        <is>
          <t>完工</t>
        </is>
      </c>
    </row>
    <row r="718">
      <c r="A718" s="4" t="n">
        <v>715</v>
      </c>
      <c r="B718" s="5" t="inlineStr">
        <is>
          <t>PJ-2026-0715</t>
        </is>
      </c>
      <c r="C718" s="6" t="inlineStr">
        <is>
          <t>和平街供水管网更新工程（三期）</t>
        </is>
      </c>
      <c r="D718" s="4" t="inlineStr">
        <is>
          <t>胡强</t>
        </is>
      </c>
      <c r="E718" s="7" t="n">
        <v>3818</v>
      </c>
      <c r="F718" s="7" t="n">
        <v>3856.18</v>
      </c>
      <c r="G718" s="7">
        <f>E718-F718</f>
        <v/>
      </c>
      <c r="H718" s="8">
        <f>IFERROR(F718/E718,0)</f>
        <v/>
      </c>
      <c r="I718" s="4">
        <f>IF(H718&gt;=1,"超预算",IF(H718&gt;=0.9,"预警","正常"))</f>
        <v/>
      </c>
      <c r="J718" s="4">
        <f>RANK(F718,$F$4:$F$1203,0)</f>
        <v/>
      </c>
      <c r="K718" s="4" t="inlineStr">
        <is>
          <t>在建</t>
        </is>
      </c>
    </row>
    <row r="719">
      <c r="A719" s="4" t="n">
        <v>716</v>
      </c>
      <c r="B719" s="5" t="inlineStr">
        <is>
          <t>PJ-2026-0716</t>
        </is>
      </c>
      <c r="C719" s="6" t="inlineStr">
        <is>
          <t>光明街河道综合整治工程（四期）</t>
        </is>
      </c>
      <c r="D719" s="4" t="inlineStr">
        <is>
          <t>郭娟</t>
        </is>
      </c>
      <c r="E719" s="7" t="n">
        <v>3955</v>
      </c>
      <c r="F719" s="7" t="n">
        <v>2373</v>
      </c>
      <c r="G719" s="7">
        <f>E719-F719</f>
        <v/>
      </c>
      <c r="H719" s="8">
        <f>IFERROR(F719/E719,0)</f>
        <v/>
      </c>
      <c r="I719" s="4">
        <f>IF(H719&gt;=1,"超预算",IF(H719&gt;=0.9,"预警","正常"))</f>
        <v/>
      </c>
      <c r="J719" s="4">
        <f>RANK(F719,$F$4:$F$1203,0)</f>
        <v/>
      </c>
      <c r="K719" s="4" t="inlineStr">
        <is>
          <t>待启动</t>
        </is>
      </c>
    </row>
    <row r="720">
      <c r="A720" s="4" t="n">
        <v>717</v>
      </c>
      <c r="B720" s="5" t="inlineStr">
        <is>
          <t>PJ-2026-0717</t>
        </is>
      </c>
      <c r="C720" s="6" t="inlineStr">
        <is>
          <t>城东路学校新建工程</t>
        </is>
      </c>
      <c r="D720" s="4" t="inlineStr">
        <is>
          <t>何平</t>
        </is>
      </c>
      <c r="E720" s="7" t="n">
        <v>4092</v>
      </c>
      <c r="F720" s="7" t="n">
        <v>3641.88</v>
      </c>
      <c r="G720" s="7">
        <f>E720-F720</f>
        <v/>
      </c>
      <c r="H720" s="8">
        <f>IFERROR(F720/E720,0)</f>
        <v/>
      </c>
      <c r="I720" s="4">
        <f>IF(H720&gt;=1,"超预算",IF(H720&gt;=0.9,"预警","正常"))</f>
        <v/>
      </c>
      <c r="J720" s="4">
        <f>RANK(F720,$F$4:$F$1203,0)</f>
        <v/>
      </c>
      <c r="K720" s="4" t="inlineStr">
        <is>
          <t>完工</t>
        </is>
      </c>
    </row>
    <row r="721">
      <c r="A721" s="4" t="n">
        <v>718</v>
      </c>
      <c r="B721" s="5" t="inlineStr">
        <is>
          <t>PJ-2026-0718</t>
        </is>
      </c>
      <c r="C721" s="6" t="inlineStr">
        <is>
          <t>解放路医院改扩建项目（二期）</t>
        </is>
      </c>
      <c r="D721" s="4" t="inlineStr">
        <is>
          <t>高敏</t>
        </is>
      </c>
      <c r="E721" s="7" t="n">
        <v>4229</v>
      </c>
      <c r="F721" s="7" t="n">
        <v>2029.92</v>
      </c>
      <c r="G721" s="7">
        <f>E721-F721</f>
        <v/>
      </c>
      <c r="H721" s="8">
        <f>IFERROR(F721/E721,0)</f>
        <v/>
      </c>
      <c r="I721" s="4">
        <f>IF(H721&gt;=1,"超预算",IF(H721&gt;=0.9,"预警","正常"))</f>
        <v/>
      </c>
      <c r="J721" s="4">
        <f>RANK(F721,$F$4:$F$1203,0)</f>
        <v/>
      </c>
      <c r="K721" s="4" t="inlineStr">
        <is>
          <t>在建</t>
        </is>
      </c>
    </row>
    <row r="722">
      <c r="A722" s="4" t="n">
        <v>719</v>
      </c>
      <c r="B722" s="5" t="inlineStr">
        <is>
          <t>PJ-2026-0719</t>
        </is>
      </c>
      <c r="C722" s="6" t="inlineStr">
        <is>
          <t>和平街公交枢纽建设工程（三期）</t>
        </is>
      </c>
      <c r="D722" s="4" t="inlineStr">
        <is>
          <t>林勇</t>
        </is>
      </c>
      <c r="E722" s="7" t="n">
        <v>4366</v>
      </c>
      <c r="F722" s="7" t="n">
        <v>3361.82</v>
      </c>
      <c r="G722" s="7">
        <f>E722-F722</f>
        <v/>
      </c>
      <c r="H722" s="8">
        <f>IFERROR(F722/E722,0)</f>
        <v/>
      </c>
      <c r="I722" s="4">
        <f>IF(H722&gt;=1,"超预算",IF(H722&gt;=0.9,"预警","正常"))</f>
        <v/>
      </c>
      <c r="J722" s="4">
        <f>RANK(F722,$F$4:$F$1203,0)</f>
        <v/>
      </c>
      <c r="K722" s="4" t="inlineStr">
        <is>
          <t>待启动</t>
        </is>
      </c>
    </row>
    <row r="723">
      <c r="A723" s="4" t="n">
        <v>720</v>
      </c>
      <c r="B723" s="5" t="inlineStr">
        <is>
          <t>PJ-2026-0720</t>
        </is>
      </c>
      <c r="C723" s="6" t="inlineStr">
        <is>
          <t>光明街公共停车场建设工程（四期）</t>
        </is>
      </c>
      <c r="D723" s="4" t="inlineStr">
        <is>
          <t>罗秀</t>
        </is>
      </c>
      <c r="E723" s="7" t="n">
        <v>4503</v>
      </c>
      <c r="F723" s="7" t="n">
        <v>4773.18</v>
      </c>
      <c r="G723" s="7">
        <f>E723-F723</f>
        <v/>
      </c>
      <c r="H723" s="8">
        <f>IFERROR(F723/E723,0)</f>
        <v/>
      </c>
      <c r="I723" s="4">
        <f>IF(H723&gt;=1,"超预算",IF(H723&gt;=0.9,"预警","正常"))</f>
        <v/>
      </c>
      <c r="J723" s="4">
        <f>RANK(F723,$F$4:$F$1203,0)</f>
        <v/>
      </c>
      <c r="K723" s="4" t="inlineStr">
        <is>
          <t>完工</t>
        </is>
      </c>
    </row>
    <row r="724">
      <c r="A724" s="4" t="n">
        <v>721</v>
      </c>
      <c r="B724" s="5" t="inlineStr">
        <is>
          <t>PJ-2026-0721</t>
        </is>
      </c>
      <c r="C724" s="6" t="inlineStr">
        <is>
          <t>城东路道路改造工程</t>
        </is>
      </c>
      <c r="D724" s="4" t="inlineStr">
        <is>
          <t>张伟</t>
        </is>
      </c>
      <c r="E724" s="7" t="n">
        <v>4640</v>
      </c>
      <c r="F724" s="7" t="n">
        <v>3016</v>
      </c>
      <c r="G724" s="7">
        <f>E724-F724</f>
        <v/>
      </c>
      <c r="H724" s="8">
        <f>IFERROR(F724/E724,0)</f>
        <v/>
      </c>
      <c r="I724" s="4">
        <f>IF(H724&gt;=1,"超预算",IF(H724&gt;=0.9,"预警","正常"))</f>
        <v/>
      </c>
      <c r="J724" s="4">
        <f>RANK(F724,$F$4:$F$1203,0)</f>
        <v/>
      </c>
      <c r="K724" s="4" t="inlineStr">
        <is>
          <t>在建</t>
        </is>
      </c>
    </row>
    <row r="725">
      <c r="A725" s="4" t="n">
        <v>722</v>
      </c>
      <c r="B725" s="5" t="inlineStr">
        <is>
          <t>PJ-2026-0722</t>
        </is>
      </c>
      <c r="C725" s="6" t="inlineStr">
        <is>
          <t>解放路老旧小区改造项目（二期）</t>
        </is>
      </c>
      <c r="D725" s="4" t="inlineStr">
        <is>
          <t>王磊</t>
        </is>
      </c>
      <c r="E725" s="7" t="n">
        <v>4777</v>
      </c>
      <c r="F725" s="7" t="n">
        <v>4490.38</v>
      </c>
      <c r="G725" s="7">
        <f>E725-F725</f>
        <v/>
      </c>
      <c r="H725" s="8">
        <f>IFERROR(F725/E725,0)</f>
        <v/>
      </c>
      <c r="I725" s="4">
        <f>IF(H725&gt;=1,"超预算",IF(H725&gt;=0.9,"预警","正常"))</f>
        <v/>
      </c>
      <c r="J725" s="4">
        <f>RANK(F725,$F$4:$F$1203,0)</f>
        <v/>
      </c>
      <c r="K725" s="4" t="inlineStr">
        <is>
          <t>待启动</t>
        </is>
      </c>
    </row>
    <row r="726">
      <c r="A726" s="4" t="n">
        <v>723</v>
      </c>
      <c r="B726" s="5" t="inlineStr">
        <is>
          <t>PJ-2026-0723</t>
        </is>
      </c>
      <c r="C726" s="6" t="inlineStr">
        <is>
          <t>和平街智慧园区建设项目（三期）</t>
        </is>
      </c>
      <c r="D726" s="4" t="inlineStr">
        <is>
          <t>李涛</t>
        </is>
      </c>
      <c r="E726" s="7" t="n">
        <v>4914</v>
      </c>
      <c r="F726" s="7" t="n">
        <v>2604.42</v>
      </c>
      <c r="G726" s="7">
        <f>E726-F726</f>
        <v/>
      </c>
      <c r="H726" s="8">
        <f>IFERROR(F726/E726,0)</f>
        <v/>
      </c>
      <c r="I726" s="4">
        <f>IF(H726&gt;=1,"超预算",IF(H726&gt;=0.9,"预警","正常"))</f>
        <v/>
      </c>
      <c r="J726" s="4">
        <f>RANK(F726,$F$4:$F$1203,0)</f>
        <v/>
      </c>
      <c r="K726" s="4" t="inlineStr">
        <is>
          <t>完工</t>
        </is>
      </c>
    </row>
    <row r="727">
      <c r="A727" s="4" t="n">
        <v>724</v>
      </c>
      <c r="B727" s="5" t="inlineStr">
        <is>
          <t>PJ-2026-0724</t>
        </is>
      </c>
      <c r="C727" s="6" t="inlineStr">
        <is>
          <t>光明街污水处理扩容工程（四期）</t>
        </is>
      </c>
      <c r="D727" s="4" t="inlineStr">
        <is>
          <t>赵刚</t>
        </is>
      </c>
      <c r="E727" s="7" t="n">
        <v>101</v>
      </c>
      <c r="F727" s="7" t="n">
        <v>82.81999999999999</v>
      </c>
      <c r="G727" s="7">
        <f>E727-F727</f>
        <v/>
      </c>
      <c r="H727" s="8">
        <f>IFERROR(F727/E727,0)</f>
        <v/>
      </c>
      <c r="I727" s="4">
        <f>IF(H727&gt;=1,"超预算",IF(H727&gt;=0.9,"预警","正常"))</f>
        <v/>
      </c>
      <c r="J727" s="4">
        <f>RANK(F727,$F$4:$F$1203,0)</f>
        <v/>
      </c>
      <c r="K727" s="4" t="inlineStr">
        <is>
          <t>在建</t>
        </is>
      </c>
    </row>
    <row r="728">
      <c r="A728" s="4" t="n">
        <v>725</v>
      </c>
      <c r="B728" s="5" t="inlineStr">
        <is>
          <t>PJ-2026-0725</t>
        </is>
      </c>
      <c r="C728" s="6" t="inlineStr">
        <is>
          <t>城东路供水管网更新工程</t>
        </is>
      </c>
      <c r="D728" s="4" t="inlineStr">
        <is>
          <t>刘静</t>
        </is>
      </c>
      <c r="E728" s="7" t="n">
        <v>238</v>
      </c>
      <c r="F728" s="7" t="n">
        <v>264.18</v>
      </c>
      <c r="G728" s="7">
        <f>E728-F728</f>
        <v/>
      </c>
      <c r="H728" s="8">
        <f>IFERROR(F728/E728,0)</f>
        <v/>
      </c>
      <c r="I728" s="4">
        <f>IF(H728&gt;=1,"超预算",IF(H728&gt;=0.9,"预警","正常"))</f>
        <v/>
      </c>
      <c r="J728" s="4">
        <f>RANK(F728,$F$4:$F$1203,0)</f>
        <v/>
      </c>
      <c r="K728" s="4" t="inlineStr">
        <is>
          <t>待启动</t>
        </is>
      </c>
    </row>
    <row r="729">
      <c r="A729" s="4" t="n">
        <v>726</v>
      </c>
      <c r="B729" s="5" t="inlineStr">
        <is>
          <t>PJ-2026-0726</t>
        </is>
      </c>
      <c r="C729" s="6" t="inlineStr">
        <is>
          <t>解放路河道综合整治工程（二期）</t>
        </is>
      </c>
      <c r="D729" s="4" t="inlineStr">
        <is>
          <t>陈艳</t>
        </is>
      </c>
      <c r="E729" s="7" t="n">
        <v>375</v>
      </c>
      <c r="F729" s="7" t="n">
        <v>262.5</v>
      </c>
      <c r="G729" s="7">
        <f>E729-F729</f>
        <v/>
      </c>
      <c r="H729" s="8">
        <f>IFERROR(F729/E729,0)</f>
        <v/>
      </c>
      <c r="I729" s="4">
        <f>IF(H729&gt;=1,"超预算",IF(H729&gt;=0.9,"预警","正常"))</f>
        <v/>
      </c>
      <c r="J729" s="4">
        <f>RANK(F729,$F$4:$F$1203,0)</f>
        <v/>
      </c>
      <c r="K729" s="4" t="inlineStr">
        <is>
          <t>完工</t>
        </is>
      </c>
    </row>
    <row r="730">
      <c r="A730" s="4" t="n">
        <v>727</v>
      </c>
      <c r="B730" s="5" t="inlineStr">
        <is>
          <t>PJ-2026-0727</t>
        </is>
      </c>
      <c r="C730" s="6" t="inlineStr">
        <is>
          <t>和平街学校新建工程（三期）</t>
        </is>
      </c>
      <c r="D730" s="4" t="inlineStr">
        <is>
          <t>杨英</t>
        </is>
      </c>
      <c r="E730" s="7" t="n">
        <v>512</v>
      </c>
      <c r="F730" s="7" t="n">
        <v>506.88</v>
      </c>
      <c r="G730" s="7">
        <f>E730-F730</f>
        <v/>
      </c>
      <c r="H730" s="8">
        <f>IFERROR(F730/E730,0)</f>
        <v/>
      </c>
      <c r="I730" s="4">
        <f>IF(H730&gt;=1,"超预算",IF(H730&gt;=0.9,"预警","正常"))</f>
        <v/>
      </c>
      <c r="J730" s="4">
        <f>RANK(F730,$F$4:$F$1203,0)</f>
        <v/>
      </c>
      <c r="K730" s="4" t="inlineStr">
        <is>
          <t>在建</t>
        </is>
      </c>
    </row>
    <row r="731">
      <c r="A731" s="4" t="n">
        <v>728</v>
      </c>
      <c r="B731" s="5" t="inlineStr">
        <is>
          <t>PJ-2026-0728</t>
        </is>
      </c>
      <c r="C731" s="6" t="inlineStr">
        <is>
          <t>光明街医院改扩建项目（四期）</t>
        </is>
      </c>
      <c r="D731" s="4" t="inlineStr">
        <is>
          <t>黄芳</t>
        </is>
      </c>
      <c r="E731" s="7" t="n">
        <v>649</v>
      </c>
      <c r="F731" s="7" t="n">
        <v>376.42</v>
      </c>
      <c r="G731" s="7">
        <f>E731-F731</f>
        <v/>
      </c>
      <c r="H731" s="8">
        <f>IFERROR(F731/E731,0)</f>
        <v/>
      </c>
      <c r="I731" s="4">
        <f>IF(H731&gt;=1,"超预算",IF(H731&gt;=0.9,"预警","正常"))</f>
        <v/>
      </c>
      <c r="J731" s="4">
        <f>RANK(F731,$F$4:$F$1203,0)</f>
        <v/>
      </c>
      <c r="K731" s="4" t="inlineStr">
        <is>
          <t>待启动</t>
        </is>
      </c>
    </row>
    <row r="732">
      <c r="A732" s="4" t="n">
        <v>729</v>
      </c>
      <c r="B732" s="5" t="inlineStr">
        <is>
          <t>PJ-2026-0729</t>
        </is>
      </c>
      <c r="C732" s="6" t="inlineStr">
        <is>
          <t>城东路公交枢纽建设工程</t>
        </is>
      </c>
      <c r="D732" s="4" t="inlineStr">
        <is>
          <t>周军</t>
        </is>
      </c>
      <c r="E732" s="7" t="n">
        <v>786</v>
      </c>
      <c r="F732" s="7" t="n">
        <v>683.8200000000001</v>
      </c>
      <c r="G732" s="7">
        <f>E732-F732</f>
        <v/>
      </c>
      <c r="H732" s="8">
        <f>IFERROR(F732/E732,0)</f>
        <v/>
      </c>
      <c r="I732" s="4">
        <f>IF(H732&gt;=1,"超预算",IF(H732&gt;=0.9,"预警","正常"))</f>
        <v/>
      </c>
      <c r="J732" s="4">
        <f>RANK(F732,$F$4:$F$1203,0)</f>
        <v/>
      </c>
      <c r="K732" s="4" t="inlineStr">
        <is>
          <t>完工</t>
        </is>
      </c>
    </row>
    <row r="733">
      <c r="A733" s="4" t="n">
        <v>730</v>
      </c>
      <c r="B733" s="5" t="inlineStr">
        <is>
          <t>PJ-2026-0730</t>
        </is>
      </c>
      <c r="C733" s="6" t="inlineStr">
        <is>
          <t>解放路公共停车场建设工程（二期）</t>
        </is>
      </c>
      <c r="D733" s="4" t="inlineStr">
        <is>
          <t>吴明</t>
        </is>
      </c>
      <c r="E733" s="7" t="n">
        <v>923</v>
      </c>
      <c r="F733" s="7" t="n">
        <v>424.58</v>
      </c>
      <c r="G733" s="7">
        <f>E733-F733</f>
        <v/>
      </c>
      <c r="H733" s="8">
        <f>IFERROR(F733/E733,0)</f>
        <v/>
      </c>
      <c r="I733" s="4">
        <f>IF(H733&gt;=1,"超预算",IF(H733&gt;=0.9,"预警","正常"))</f>
        <v/>
      </c>
      <c r="J733" s="4">
        <f>RANK(F733,$F$4:$F$1203,0)</f>
        <v/>
      </c>
      <c r="K733" s="4" t="inlineStr">
        <is>
          <t>在建</t>
        </is>
      </c>
    </row>
    <row r="734">
      <c r="A734" s="4" t="n">
        <v>731</v>
      </c>
      <c r="B734" s="5" t="inlineStr">
        <is>
          <t>PJ-2026-0731</t>
        </is>
      </c>
      <c r="C734" s="6" t="inlineStr">
        <is>
          <t>和平街道路改造工程（三期）</t>
        </is>
      </c>
      <c r="D734" s="4" t="inlineStr">
        <is>
          <t>徐桂</t>
        </is>
      </c>
      <c r="E734" s="7" t="n">
        <v>1060</v>
      </c>
      <c r="F734" s="7" t="n">
        <v>795</v>
      </c>
      <c r="G734" s="7">
        <f>E734-F734</f>
        <v/>
      </c>
      <c r="H734" s="8">
        <f>IFERROR(F734/E734,0)</f>
        <v/>
      </c>
      <c r="I734" s="4">
        <f>IF(H734&gt;=1,"超预算",IF(H734&gt;=0.9,"预警","正常"))</f>
        <v/>
      </c>
      <c r="J734" s="4">
        <f>RANK(F734,$F$4:$F$1203,0)</f>
        <v/>
      </c>
      <c r="K734" s="4" t="inlineStr">
        <is>
          <t>待启动</t>
        </is>
      </c>
    </row>
    <row r="735">
      <c r="A735" s="4" t="n">
        <v>732</v>
      </c>
      <c r="B735" s="5" t="inlineStr">
        <is>
          <t>PJ-2026-0732</t>
        </is>
      </c>
      <c r="C735" s="6" t="inlineStr">
        <is>
          <t>光明街老旧小区改造项目（四期）</t>
        </is>
      </c>
      <c r="D735" s="4" t="inlineStr">
        <is>
          <t>孙丽</t>
        </is>
      </c>
      <c r="E735" s="7" t="n">
        <v>1197</v>
      </c>
      <c r="F735" s="7" t="n">
        <v>1244.88</v>
      </c>
      <c r="G735" s="7">
        <f>E735-F735</f>
        <v/>
      </c>
      <c r="H735" s="8">
        <f>IFERROR(F735/E735,0)</f>
        <v/>
      </c>
      <c r="I735" s="4">
        <f>IF(H735&gt;=1,"超预算",IF(H735&gt;=0.9,"预警","正常"))</f>
        <v/>
      </c>
      <c r="J735" s="4">
        <f>RANK(F735,$F$4:$F$1203,0)</f>
        <v/>
      </c>
      <c r="K735" s="4" t="inlineStr">
        <is>
          <t>完工</t>
        </is>
      </c>
    </row>
    <row r="736">
      <c r="A736" s="4" t="n">
        <v>733</v>
      </c>
      <c r="B736" s="5" t="inlineStr">
        <is>
          <t>PJ-2026-0733</t>
        </is>
      </c>
      <c r="C736" s="6" t="inlineStr">
        <is>
          <t>城东路智慧园区建设项目</t>
        </is>
      </c>
      <c r="D736" s="4" t="inlineStr">
        <is>
          <t>马杰</t>
        </is>
      </c>
      <c r="E736" s="7" t="n">
        <v>1334</v>
      </c>
      <c r="F736" s="7" t="n">
        <v>840.42</v>
      </c>
      <c r="G736" s="7">
        <f>E736-F736</f>
        <v/>
      </c>
      <c r="H736" s="8">
        <f>IFERROR(F736/E736,0)</f>
        <v/>
      </c>
      <c r="I736" s="4">
        <f>IF(H736&gt;=1,"超预算",IF(H736&gt;=0.9,"预警","正常"))</f>
        <v/>
      </c>
      <c r="J736" s="4">
        <f>RANK(F736,$F$4:$F$1203,0)</f>
        <v/>
      </c>
      <c r="K736" s="4" t="inlineStr">
        <is>
          <t>在建</t>
        </is>
      </c>
    </row>
    <row r="737">
      <c r="A737" s="4" t="n">
        <v>734</v>
      </c>
      <c r="B737" s="5" t="inlineStr">
        <is>
          <t>PJ-2026-0734</t>
        </is>
      </c>
      <c r="C737" s="6" t="inlineStr">
        <is>
          <t>解放路污水处理扩容工程（二期）</t>
        </is>
      </c>
      <c r="D737" s="4" t="inlineStr">
        <is>
          <t>朱霞</t>
        </is>
      </c>
      <c r="E737" s="7" t="n">
        <v>1471</v>
      </c>
      <c r="F737" s="7" t="n">
        <v>1353.32</v>
      </c>
      <c r="G737" s="7">
        <f>E737-F737</f>
        <v/>
      </c>
      <c r="H737" s="8">
        <f>IFERROR(F737/E737,0)</f>
        <v/>
      </c>
      <c r="I737" s="4">
        <f>IF(H737&gt;=1,"超预算",IF(H737&gt;=0.9,"预警","正常"))</f>
        <v/>
      </c>
      <c r="J737" s="4">
        <f>RANK(F737,$F$4:$F$1203,0)</f>
        <v/>
      </c>
      <c r="K737" s="4" t="inlineStr">
        <is>
          <t>待启动</t>
        </is>
      </c>
    </row>
    <row r="738">
      <c r="A738" s="4" t="n">
        <v>735</v>
      </c>
      <c r="B738" s="5" t="inlineStr">
        <is>
          <t>PJ-2026-0735</t>
        </is>
      </c>
      <c r="C738" s="6" t="inlineStr">
        <is>
          <t>和平街供水管网更新工程（三期）</t>
        </is>
      </c>
      <c r="D738" s="4" t="inlineStr">
        <is>
          <t>胡娜</t>
        </is>
      </c>
      <c r="E738" s="7" t="n">
        <v>1608</v>
      </c>
      <c r="F738" s="7" t="n">
        <v>820.08</v>
      </c>
      <c r="G738" s="7">
        <f>E738-F738</f>
        <v/>
      </c>
      <c r="H738" s="8">
        <f>IFERROR(F738/E738,0)</f>
        <v/>
      </c>
      <c r="I738" s="4">
        <f>IF(H738&gt;=1,"超预算",IF(H738&gt;=0.9,"预警","正常"))</f>
        <v/>
      </c>
      <c r="J738" s="4">
        <f>RANK(F738,$F$4:$F$1203,0)</f>
        <v/>
      </c>
      <c r="K738" s="4" t="inlineStr">
        <is>
          <t>完工</t>
        </is>
      </c>
    </row>
    <row r="739">
      <c r="A739" s="4" t="n">
        <v>736</v>
      </c>
      <c r="B739" s="5" t="inlineStr">
        <is>
          <t>PJ-2026-0736</t>
        </is>
      </c>
      <c r="C739" s="6" t="inlineStr">
        <is>
          <t>光明街河道综合整治工程（四期）</t>
        </is>
      </c>
      <c r="D739" s="4" t="inlineStr">
        <is>
          <t>郭洋</t>
        </is>
      </c>
      <c r="E739" s="7" t="n">
        <v>1745</v>
      </c>
      <c r="F739" s="7" t="n">
        <v>1396</v>
      </c>
      <c r="G739" s="7">
        <f>E739-F739</f>
        <v/>
      </c>
      <c r="H739" s="8">
        <f>IFERROR(F739/E739,0)</f>
        <v/>
      </c>
      <c r="I739" s="4">
        <f>IF(H739&gt;=1,"超预算",IF(H739&gt;=0.9,"预警","正常"))</f>
        <v/>
      </c>
      <c r="J739" s="4">
        <f>RANK(F739,$F$4:$F$1203,0)</f>
        <v/>
      </c>
      <c r="K739" s="4" t="inlineStr">
        <is>
          <t>在建</t>
        </is>
      </c>
    </row>
    <row r="740">
      <c r="A740" s="4" t="n">
        <v>737</v>
      </c>
      <c r="B740" s="5" t="inlineStr">
        <is>
          <t>PJ-2026-0737</t>
        </is>
      </c>
      <c r="C740" s="6" t="inlineStr">
        <is>
          <t>城东路学校新建工程</t>
        </is>
      </c>
      <c r="D740" s="4" t="inlineStr">
        <is>
          <t>何超</t>
        </is>
      </c>
      <c r="E740" s="7" t="n">
        <v>1882</v>
      </c>
      <c r="F740" s="7" t="n">
        <v>2051.38</v>
      </c>
      <c r="G740" s="7">
        <f>E740-F740</f>
        <v/>
      </c>
      <c r="H740" s="8">
        <f>IFERROR(F740/E740,0)</f>
        <v/>
      </c>
      <c r="I740" s="4">
        <f>IF(H740&gt;=1,"超预算",IF(H740&gt;=0.9,"预警","正常"))</f>
        <v/>
      </c>
      <c r="J740" s="4">
        <f>RANK(F740,$F$4:$F$1203,0)</f>
        <v/>
      </c>
      <c r="K740" s="4" t="inlineStr">
        <is>
          <t>待启动</t>
        </is>
      </c>
    </row>
    <row r="741">
      <c r="A741" s="4" t="n">
        <v>738</v>
      </c>
      <c r="B741" s="5" t="inlineStr">
        <is>
          <t>PJ-2026-0738</t>
        </is>
      </c>
      <c r="C741" s="6" t="inlineStr">
        <is>
          <t>解放路医院改扩建项目（二期）</t>
        </is>
      </c>
      <c r="D741" s="4" t="inlineStr">
        <is>
          <t>高英</t>
        </is>
      </c>
      <c r="E741" s="7" t="n">
        <v>2019</v>
      </c>
      <c r="F741" s="7" t="n">
        <v>1372.92</v>
      </c>
      <c r="G741" s="7">
        <f>E741-F741</f>
        <v/>
      </c>
      <c r="H741" s="8">
        <f>IFERROR(F741/E741,0)</f>
        <v/>
      </c>
      <c r="I741" s="4">
        <f>IF(H741&gt;=1,"超预算",IF(H741&gt;=0.9,"预警","正常"))</f>
        <v/>
      </c>
      <c r="J741" s="4">
        <f>RANK(F741,$F$4:$F$1203,0)</f>
        <v/>
      </c>
      <c r="K741" s="4" t="inlineStr">
        <is>
          <t>完工</t>
        </is>
      </c>
    </row>
    <row r="742">
      <c r="A742" s="4" t="n">
        <v>739</v>
      </c>
      <c r="B742" s="5" t="inlineStr">
        <is>
          <t>PJ-2026-0739</t>
        </is>
      </c>
      <c r="C742" s="6" t="inlineStr">
        <is>
          <t>和平街公交枢纽建设工程（三期）</t>
        </is>
      </c>
      <c r="D742" s="4" t="inlineStr">
        <is>
          <t>林强</t>
        </is>
      </c>
      <c r="E742" s="7" t="n">
        <v>2156</v>
      </c>
      <c r="F742" s="7" t="n">
        <v>2091.32</v>
      </c>
      <c r="G742" s="7">
        <f>E742-F742</f>
        <v/>
      </c>
      <c r="H742" s="8">
        <f>IFERROR(F742/E742,0)</f>
        <v/>
      </c>
      <c r="I742" s="4">
        <f>IF(H742&gt;=1,"超预算",IF(H742&gt;=0.9,"预警","正常"))</f>
        <v/>
      </c>
      <c r="J742" s="4">
        <f>RANK(F742,$F$4:$F$1203,0)</f>
        <v/>
      </c>
      <c r="K742" s="4" t="inlineStr">
        <is>
          <t>在建</t>
        </is>
      </c>
    </row>
    <row r="743">
      <c r="A743" s="4" t="n">
        <v>740</v>
      </c>
      <c r="B743" s="5" t="inlineStr">
        <is>
          <t>PJ-2026-0740</t>
        </is>
      </c>
      <c r="C743" s="6" t="inlineStr">
        <is>
          <t>光明街公共停车场建设工程（四期）</t>
        </is>
      </c>
      <c r="D743" s="4" t="inlineStr">
        <is>
          <t>罗娟</t>
        </is>
      </c>
      <c r="E743" s="7" t="n">
        <v>2293</v>
      </c>
      <c r="F743" s="7" t="n">
        <v>1284.08</v>
      </c>
      <c r="G743" s="7">
        <f>E743-F743</f>
        <v/>
      </c>
      <c r="H743" s="8">
        <f>IFERROR(F743/E743,0)</f>
        <v/>
      </c>
      <c r="I743" s="4">
        <f>IF(H743&gt;=1,"超预算",IF(H743&gt;=0.9,"预警","正常"))</f>
        <v/>
      </c>
      <c r="J743" s="4">
        <f>RANK(F743,$F$4:$F$1203,0)</f>
        <v/>
      </c>
      <c r="K743" s="4" t="inlineStr">
        <is>
          <t>待启动</t>
        </is>
      </c>
    </row>
    <row r="744">
      <c r="A744" s="4" t="n">
        <v>741</v>
      </c>
      <c r="B744" s="5" t="inlineStr">
        <is>
          <t>PJ-2026-0741</t>
        </is>
      </c>
      <c r="C744" s="6" t="inlineStr">
        <is>
          <t>城东路道路改造工程</t>
        </is>
      </c>
      <c r="D744" s="4" t="inlineStr">
        <is>
          <t>张平</t>
        </is>
      </c>
      <c r="E744" s="7" t="n">
        <v>2430</v>
      </c>
      <c r="F744" s="7" t="n">
        <v>2065.5</v>
      </c>
      <c r="G744" s="7">
        <f>E744-F744</f>
        <v/>
      </c>
      <c r="H744" s="8">
        <f>IFERROR(F744/E744,0)</f>
        <v/>
      </c>
      <c r="I744" s="4">
        <f>IF(H744&gt;=1,"超预算",IF(H744&gt;=0.9,"预警","正常"))</f>
        <v/>
      </c>
      <c r="J744" s="4">
        <f>RANK(F744,$F$4:$F$1203,0)</f>
        <v/>
      </c>
      <c r="K744" s="4" t="inlineStr">
        <is>
          <t>完工</t>
        </is>
      </c>
    </row>
    <row r="745">
      <c r="A745" s="4" t="n">
        <v>742</v>
      </c>
      <c r="B745" s="5" t="inlineStr">
        <is>
          <t>PJ-2026-0742</t>
        </is>
      </c>
      <c r="C745" s="6" t="inlineStr">
        <is>
          <t>解放路老旧小区改造项目（二期）</t>
        </is>
      </c>
      <c r="D745" s="4" t="inlineStr">
        <is>
          <t>王敏</t>
        </is>
      </c>
      <c r="E745" s="7" t="n">
        <v>2567</v>
      </c>
      <c r="F745" s="7" t="n">
        <v>2926.38</v>
      </c>
      <c r="G745" s="7">
        <f>E745-F745</f>
        <v/>
      </c>
      <c r="H745" s="8">
        <f>IFERROR(F745/E745,0)</f>
        <v/>
      </c>
      <c r="I745" s="4">
        <f>IF(H745&gt;=1,"超预算",IF(H745&gt;=0.9,"预警","正常"))</f>
        <v/>
      </c>
      <c r="J745" s="4">
        <f>RANK(F745,$F$4:$F$1203,0)</f>
        <v/>
      </c>
      <c r="K745" s="4" t="inlineStr">
        <is>
          <t>在建</t>
        </is>
      </c>
    </row>
    <row r="746">
      <c r="A746" s="4" t="n">
        <v>743</v>
      </c>
      <c r="B746" s="5" t="inlineStr">
        <is>
          <t>PJ-2026-0743</t>
        </is>
      </c>
      <c r="C746" s="6" t="inlineStr">
        <is>
          <t>和平街智慧园区建设项目（三期）</t>
        </is>
      </c>
      <c r="D746" s="4" t="inlineStr">
        <is>
          <t>李勇</t>
        </is>
      </c>
      <c r="E746" s="7" t="n">
        <v>2704</v>
      </c>
      <c r="F746" s="7" t="n">
        <v>1973.92</v>
      </c>
      <c r="G746" s="7">
        <f>E746-F746</f>
        <v/>
      </c>
      <c r="H746" s="8">
        <f>IFERROR(F746/E746,0)</f>
        <v/>
      </c>
      <c r="I746" s="4">
        <f>IF(H746&gt;=1,"超预算",IF(H746&gt;=0.9,"预警","正常"))</f>
        <v/>
      </c>
      <c r="J746" s="4">
        <f>RANK(F746,$F$4:$F$1203,0)</f>
        <v/>
      </c>
      <c r="K746" s="4" t="inlineStr">
        <is>
          <t>待启动</t>
        </is>
      </c>
    </row>
    <row r="747">
      <c r="A747" s="4" t="n">
        <v>744</v>
      </c>
      <c r="B747" s="5" t="inlineStr">
        <is>
          <t>PJ-2026-0744</t>
        </is>
      </c>
      <c r="C747" s="6" t="inlineStr">
        <is>
          <t>光明街污水处理扩容工程（四期）</t>
        </is>
      </c>
      <c r="D747" s="4" t="inlineStr">
        <is>
          <t>赵秀</t>
        </is>
      </c>
      <c r="E747" s="7" t="n">
        <v>2841</v>
      </c>
      <c r="F747" s="7" t="n">
        <v>2897.82</v>
      </c>
      <c r="G747" s="7">
        <f>E747-F747</f>
        <v/>
      </c>
      <c r="H747" s="8">
        <f>IFERROR(F747/E747,0)</f>
        <v/>
      </c>
      <c r="I747" s="4">
        <f>IF(H747&gt;=1,"超预算",IF(H747&gt;=0.9,"预警","正常"))</f>
        <v/>
      </c>
      <c r="J747" s="4">
        <f>RANK(F747,$F$4:$F$1203,0)</f>
        <v/>
      </c>
      <c r="K747" s="4" t="inlineStr">
        <is>
          <t>完工</t>
        </is>
      </c>
    </row>
    <row r="748">
      <c r="A748" s="4" t="n">
        <v>745</v>
      </c>
      <c r="B748" s="5" t="inlineStr">
        <is>
          <t>PJ-2026-0745</t>
        </is>
      </c>
      <c r="C748" s="6" t="inlineStr">
        <is>
          <t>城东路供水管网更新工程</t>
        </is>
      </c>
      <c r="D748" s="4" t="inlineStr">
        <is>
          <t>刘伟</t>
        </is>
      </c>
      <c r="E748" s="7" t="n">
        <v>2978</v>
      </c>
      <c r="F748" s="7" t="n">
        <v>1816.58</v>
      </c>
      <c r="G748" s="7">
        <f>E748-F748</f>
        <v/>
      </c>
      <c r="H748" s="8">
        <f>IFERROR(F748/E748,0)</f>
        <v/>
      </c>
      <c r="I748" s="4">
        <f>IF(H748&gt;=1,"超预算",IF(H748&gt;=0.9,"预警","正常"))</f>
        <v/>
      </c>
      <c r="J748" s="4">
        <f>RANK(F748,$F$4:$F$1203,0)</f>
        <v/>
      </c>
      <c r="K748" s="4" t="inlineStr">
        <is>
          <t>在建</t>
        </is>
      </c>
    </row>
    <row r="749">
      <c r="A749" s="4" t="n">
        <v>746</v>
      </c>
      <c r="B749" s="5" t="inlineStr">
        <is>
          <t>PJ-2026-0746</t>
        </is>
      </c>
      <c r="C749" s="6" t="inlineStr">
        <is>
          <t>解放路河道综合整治工程（二期）</t>
        </is>
      </c>
      <c r="D749" s="4" t="inlineStr">
        <is>
          <t>陈磊</t>
        </is>
      </c>
      <c r="E749" s="7" t="n">
        <v>3115</v>
      </c>
      <c r="F749" s="7" t="n">
        <v>2803.5</v>
      </c>
      <c r="G749" s="7">
        <f>E749-F749</f>
        <v/>
      </c>
      <c r="H749" s="8">
        <f>IFERROR(F749/E749,0)</f>
        <v/>
      </c>
      <c r="I749" s="4">
        <f>IF(H749&gt;=1,"超预算",IF(H749&gt;=0.9,"预警","正常"))</f>
        <v/>
      </c>
      <c r="J749" s="4">
        <f>RANK(F749,$F$4:$F$1203,0)</f>
        <v/>
      </c>
      <c r="K749" s="4" t="inlineStr">
        <is>
          <t>待启动</t>
        </is>
      </c>
    </row>
    <row r="750">
      <c r="A750" s="4" t="n">
        <v>747</v>
      </c>
      <c r="B750" s="5" t="inlineStr">
        <is>
          <t>PJ-2026-0747</t>
        </is>
      </c>
      <c r="C750" s="6" t="inlineStr">
        <is>
          <t>和平街学校新建工程（三期）</t>
        </is>
      </c>
      <c r="D750" s="4" t="inlineStr">
        <is>
          <t>杨涛</t>
        </is>
      </c>
      <c r="E750" s="7" t="n">
        <v>3252</v>
      </c>
      <c r="F750" s="7" t="n">
        <v>1593.48</v>
      </c>
      <c r="G750" s="7">
        <f>E750-F750</f>
        <v/>
      </c>
      <c r="H750" s="8">
        <f>IFERROR(F750/E750,0)</f>
        <v/>
      </c>
      <c r="I750" s="4">
        <f>IF(H750&gt;=1,"超预算",IF(H750&gt;=0.9,"预警","正常"))</f>
        <v/>
      </c>
      <c r="J750" s="4">
        <f>RANK(F750,$F$4:$F$1203,0)</f>
        <v/>
      </c>
      <c r="K750" s="4" t="inlineStr">
        <is>
          <t>完工</t>
        </is>
      </c>
    </row>
    <row r="751">
      <c r="A751" s="4" t="n">
        <v>748</v>
      </c>
      <c r="B751" s="5" t="inlineStr">
        <is>
          <t>PJ-2026-0748</t>
        </is>
      </c>
      <c r="C751" s="6" t="inlineStr">
        <is>
          <t>光明街医院改扩建项目（四期）</t>
        </is>
      </c>
      <c r="D751" s="4" t="inlineStr">
        <is>
          <t>黄刚</t>
        </is>
      </c>
      <c r="E751" s="7" t="n">
        <v>3389</v>
      </c>
      <c r="F751" s="7" t="n">
        <v>2643.42</v>
      </c>
      <c r="G751" s="7">
        <f>E751-F751</f>
        <v/>
      </c>
      <c r="H751" s="8">
        <f>IFERROR(F751/E751,0)</f>
        <v/>
      </c>
      <c r="I751" s="4">
        <f>IF(H751&gt;=1,"超预算",IF(H751&gt;=0.9,"预警","正常"))</f>
        <v/>
      </c>
      <c r="J751" s="4">
        <f>RANK(F751,$F$4:$F$1203,0)</f>
        <v/>
      </c>
      <c r="K751" s="4" t="inlineStr">
        <is>
          <t>在建</t>
        </is>
      </c>
    </row>
    <row r="752">
      <c r="A752" s="4" t="n">
        <v>749</v>
      </c>
      <c r="B752" s="5" t="inlineStr">
        <is>
          <t>PJ-2026-0749</t>
        </is>
      </c>
      <c r="C752" s="6" t="inlineStr">
        <is>
          <t>城东路公交枢纽建设工程</t>
        </is>
      </c>
      <c r="D752" s="4" t="inlineStr">
        <is>
          <t>周静</t>
        </is>
      </c>
      <c r="E752" s="7" t="n">
        <v>3526</v>
      </c>
      <c r="F752" s="7" t="n">
        <v>3772.82</v>
      </c>
      <c r="G752" s="7">
        <f>E752-F752</f>
        <v/>
      </c>
      <c r="H752" s="8">
        <f>IFERROR(F752/E752,0)</f>
        <v/>
      </c>
      <c r="I752" s="4">
        <f>IF(H752&gt;=1,"超预算",IF(H752&gt;=0.9,"预警","正常"))</f>
        <v/>
      </c>
      <c r="J752" s="4">
        <f>RANK(F752,$F$4:$F$1203,0)</f>
        <v/>
      </c>
      <c r="K752" s="4" t="inlineStr">
        <is>
          <t>待启动</t>
        </is>
      </c>
    </row>
    <row r="753">
      <c r="A753" s="4" t="n">
        <v>750</v>
      </c>
      <c r="B753" s="5" t="inlineStr">
        <is>
          <t>PJ-2026-0750</t>
        </is>
      </c>
      <c r="C753" s="6" t="inlineStr">
        <is>
          <t>解放路公共停车场建设工程（二期）</t>
        </is>
      </c>
      <c r="D753" s="4" t="inlineStr">
        <is>
          <t>吴艳</t>
        </is>
      </c>
      <c r="E753" s="7" t="n">
        <v>3663</v>
      </c>
      <c r="F753" s="7" t="n">
        <v>2417.58</v>
      </c>
      <c r="G753" s="7">
        <f>E753-F753</f>
        <v/>
      </c>
      <c r="H753" s="8">
        <f>IFERROR(F753/E753,0)</f>
        <v/>
      </c>
      <c r="I753" s="4">
        <f>IF(H753&gt;=1,"超预算",IF(H753&gt;=0.9,"预警","正常"))</f>
        <v/>
      </c>
      <c r="J753" s="4">
        <f>RANK(F753,$F$4:$F$1203,0)</f>
        <v/>
      </c>
      <c r="K753" s="4" t="inlineStr">
        <is>
          <t>完工</t>
        </is>
      </c>
    </row>
    <row r="754">
      <c r="A754" s="4" t="n">
        <v>751</v>
      </c>
      <c r="B754" s="5" t="inlineStr">
        <is>
          <t>PJ-2026-0751</t>
        </is>
      </c>
      <c r="C754" s="6" t="inlineStr">
        <is>
          <t>和平街道路改造工程（三期）</t>
        </is>
      </c>
      <c r="D754" s="4" t="inlineStr">
        <is>
          <t>徐英</t>
        </is>
      </c>
      <c r="E754" s="7" t="n">
        <v>3800</v>
      </c>
      <c r="F754" s="7" t="n">
        <v>3610</v>
      </c>
      <c r="G754" s="7">
        <f>E754-F754</f>
        <v/>
      </c>
      <c r="H754" s="8">
        <f>IFERROR(F754/E754,0)</f>
        <v/>
      </c>
      <c r="I754" s="4">
        <f>IF(H754&gt;=1,"超预算",IF(H754&gt;=0.9,"预警","正常"))</f>
        <v/>
      </c>
      <c r="J754" s="4">
        <f>RANK(F754,$F$4:$F$1203,0)</f>
        <v/>
      </c>
      <c r="K754" s="4" t="inlineStr">
        <is>
          <t>在建</t>
        </is>
      </c>
    </row>
    <row r="755">
      <c r="A755" s="4" t="n">
        <v>752</v>
      </c>
      <c r="B755" s="5" t="inlineStr">
        <is>
          <t>PJ-2026-0752</t>
        </is>
      </c>
      <c r="C755" s="6" t="inlineStr">
        <is>
          <t>光明街老旧小区改造项目（四期）</t>
        </is>
      </c>
      <c r="D755" s="4" t="inlineStr">
        <is>
          <t>孙芳</t>
        </is>
      </c>
      <c r="E755" s="7" t="n">
        <v>3937</v>
      </c>
      <c r="F755" s="7" t="n">
        <v>2125.98</v>
      </c>
      <c r="G755" s="7">
        <f>E755-F755</f>
        <v/>
      </c>
      <c r="H755" s="8">
        <f>IFERROR(F755/E755,0)</f>
        <v/>
      </c>
      <c r="I755" s="4">
        <f>IF(H755&gt;=1,"超预算",IF(H755&gt;=0.9,"预警","正常"))</f>
        <v/>
      </c>
      <c r="J755" s="4">
        <f>RANK(F755,$F$4:$F$1203,0)</f>
        <v/>
      </c>
      <c r="K755" s="4" t="inlineStr">
        <is>
          <t>待启动</t>
        </is>
      </c>
    </row>
    <row r="756">
      <c r="A756" s="4" t="n">
        <v>753</v>
      </c>
      <c r="B756" s="5" t="inlineStr">
        <is>
          <t>PJ-2026-0753</t>
        </is>
      </c>
      <c r="C756" s="6" t="inlineStr">
        <is>
          <t>城东路智慧园区建设项目</t>
        </is>
      </c>
      <c r="D756" s="4" t="inlineStr">
        <is>
          <t>马军</t>
        </is>
      </c>
      <c r="E756" s="7" t="n">
        <v>4074</v>
      </c>
      <c r="F756" s="7" t="n">
        <v>3381.42</v>
      </c>
      <c r="G756" s="7">
        <f>E756-F756</f>
        <v/>
      </c>
      <c r="H756" s="8">
        <f>IFERROR(F756/E756,0)</f>
        <v/>
      </c>
      <c r="I756" s="4">
        <f>IF(H756&gt;=1,"超预算",IF(H756&gt;=0.9,"预警","正常"))</f>
        <v/>
      </c>
      <c r="J756" s="4">
        <f>RANK(F756,$F$4:$F$1203,0)</f>
        <v/>
      </c>
      <c r="K756" s="4" t="inlineStr">
        <is>
          <t>完工</t>
        </is>
      </c>
    </row>
    <row r="757">
      <c r="A757" s="4" t="n">
        <v>754</v>
      </c>
      <c r="B757" s="5" t="inlineStr">
        <is>
          <t>PJ-2026-0754</t>
        </is>
      </c>
      <c r="C757" s="6" t="inlineStr">
        <is>
          <t>解放路污水处理扩容工程（二期）</t>
        </is>
      </c>
      <c r="D757" s="4" t="inlineStr">
        <is>
          <t>朱明</t>
        </is>
      </c>
      <c r="E757" s="7" t="n">
        <v>4211</v>
      </c>
      <c r="F757" s="7" t="n">
        <v>4716.32</v>
      </c>
      <c r="G757" s="7">
        <f>E757-F757</f>
        <v/>
      </c>
      <c r="H757" s="8">
        <f>IFERROR(F757/E757,0)</f>
        <v/>
      </c>
      <c r="I757" s="4">
        <f>IF(H757&gt;=1,"超预算",IF(H757&gt;=0.9,"预警","正常"))</f>
        <v/>
      </c>
      <c r="J757" s="4">
        <f>RANK(F757,$F$4:$F$1203,0)</f>
        <v/>
      </c>
      <c r="K757" s="4" t="inlineStr">
        <is>
          <t>在建</t>
        </is>
      </c>
    </row>
    <row r="758">
      <c r="A758" s="4" t="n">
        <v>755</v>
      </c>
      <c r="B758" s="5" t="inlineStr">
        <is>
          <t>PJ-2026-0755</t>
        </is>
      </c>
      <c r="C758" s="6" t="inlineStr">
        <is>
          <t>和平街供水管网更新工程（三期）</t>
        </is>
      </c>
      <c r="D758" s="4" t="inlineStr">
        <is>
          <t>胡桂</t>
        </is>
      </c>
      <c r="E758" s="7" t="n">
        <v>4348</v>
      </c>
      <c r="F758" s="7" t="n">
        <v>3087.08</v>
      </c>
      <c r="G758" s="7">
        <f>E758-F758</f>
        <v/>
      </c>
      <c r="H758" s="8">
        <f>IFERROR(F758/E758,0)</f>
        <v/>
      </c>
      <c r="I758" s="4">
        <f>IF(H758&gt;=1,"超预算",IF(H758&gt;=0.9,"预警","正常"))</f>
        <v/>
      </c>
      <c r="J758" s="4">
        <f>RANK(F758,$F$4:$F$1203,0)</f>
        <v/>
      </c>
      <c r="K758" s="4" t="inlineStr">
        <is>
          <t>待启动</t>
        </is>
      </c>
    </row>
    <row r="759">
      <c r="A759" s="4" t="n">
        <v>756</v>
      </c>
      <c r="B759" s="5" t="inlineStr">
        <is>
          <t>PJ-2026-0756</t>
        </is>
      </c>
      <c r="C759" s="6" t="inlineStr">
        <is>
          <t>光明街河道综合整治工程（四期）</t>
        </is>
      </c>
      <c r="D759" s="4" t="inlineStr">
        <is>
          <t>郭丽</t>
        </is>
      </c>
      <c r="E759" s="7" t="n">
        <v>4485</v>
      </c>
      <c r="F759" s="7" t="n">
        <v>4485</v>
      </c>
      <c r="G759" s="7">
        <f>E759-F759</f>
        <v/>
      </c>
      <c r="H759" s="8">
        <f>IFERROR(F759/E759,0)</f>
        <v/>
      </c>
      <c r="I759" s="4">
        <f>IF(H759&gt;=1,"超预算",IF(H759&gt;=0.9,"预警","正常"))</f>
        <v/>
      </c>
      <c r="J759" s="4">
        <f>RANK(F759,$F$4:$F$1203,0)</f>
        <v/>
      </c>
      <c r="K759" s="4" t="inlineStr">
        <is>
          <t>完工</t>
        </is>
      </c>
    </row>
    <row r="760">
      <c r="A760" s="4" t="n">
        <v>757</v>
      </c>
      <c r="B760" s="5" t="inlineStr">
        <is>
          <t>PJ-2026-0757</t>
        </is>
      </c>
      <c r="C760" s="6" t="inlineStr">
        <is>
          <t>城东路学校新建工程</t>
        </is>
      </c>
      <c r="D760" s="4" t="inlineStr">
        <is>
          <t>何杰</t>
        </is>
      </c>
      <c r="E760" s="7" t="n">
        <v>4622</v>
      </c>
      <c r="F760" s="7" t="n">
        <v>2726.98</v>
      </c>
      <c r="G760" s="7">
        <f>E760-F760</f>
        <v/>
      </c>
      <c r="H760" s="8">
        <f>IFERROR(F760/E760,0)</f>
        <v/>
      </c>
      <c r="I760" s="4">
        <f>IF(H760&gt;=1,"超预算",IF(H760&gt;=0.9,"预警","正常"))</f>
        <v/>
      </c>
      <c r="J760" s="4">
        <f>RANK(F760,$F$4:$F$1203,0)</f>
        <v/>
      </c>
      <c r="K760" s="4" t="inlineStr">
        <is>
          <t>在建</t>
        </is>
      </c>
    </row>
    <row r="761">
      <c r="A761" s="4" t="n">
        <v>758</v>
      </c>
      <c r="B761" s="5" t="inlineStr">
        <is>
          <t>PJ-2026-0758</t>
        </is>
      </c>
      <c r="C761" s="6" t="inlineStr">
        <is>
          <t>解放路医院改扩建项目（二期）</t>
        </is>
      </c>
      <c r="D761" s="4" t="inlineStr">
        <is>
          <t>高霞</t>
        </is>
      </c>
      <c r="E761" s="7" t="n">
        <v>4759</v>
      </c>
      <c r="F761" s="7" t="n">
        <v>4187.92</v>
      </c>
      <c r="G761" s="7">
        <f>E761-F761</f>
        <v/>
      </c>
      <c r="H761" s="8">
        <f>IFERROR(F761/E761,0)</f>
        <v/>
      </c>
      <c r="I761" s="4">
        <f>IF(H761&gt;=1,"超预算",IF(H761&gt;=0.9,"预警","正常"))</f>
        <v/>
      </c>
      <c r="J761" s="4">
        <f>RANK(F761,$F$4:$F$1203,0)</f>
        <v/>
      </c>
      <c r="K761" s="4" t="inlineStr">
        <is>
          <t>待启动</t>
        </is>
      </c>
    </row>
    <row r="762">
      <c r="A762" s="4" t="n">
        <v>759</v>
      </c>
      <c r="B762" s="5" t="inlineStr">
        <is>
          <t>PJ-2026-0759</t>
        </is>
      </c>
      <c r="C762" s="6" t="inlineStr">
        <is>
          <t>和平街公交枢纽建设工程（三期）</t>
        </is>
      </c>
      <c r="D762" s="4" t="inlineStr">
        <is>
          <t>林娜</t>
        </is>
      </c>
      <c r="E762" s="7" t="n">
        <v>4896</v>
      </c>
      <c r="F762" s="7" t="n">
        <v>2301.12</v>
      </c>
      <c r="G762" s="7">
        <f>E762-F762</f>
        <v/>
      </c>
      <c r="H762" s="8">
        <f>IFERROR(F762/E762,0)</f>
        <v/>
      </c>
      <c r="I762" s="4">
        <f>IF(H762&gt;=1,"超预算",IF(H762&gt;=0.9,"预警","正常"))</f>
        <v/>
      </c>
      <c r="J762" s="4">
        <f>RANK(F762,$F$4:$F$1203,0)</f>
        <v/>
      </c>
      <c r="K762" s="4" t="inlineStr">
        <is>
          <t>完工</t>
        </is>
      </c>
    </row>
    <row r="763">
      <c r="A763" s="4" t="n">
        <v>760</v>
      </c>
      <c r="B763" s="5" t="inlineStr">
        <is>
          <t>PJ-2026-0760</t>
        </is>
      </c>
      <c r="C763" s="6" t="inlineStr">
        <is>
          <t>光明街公共停车场建设工程（四期）</t>
        </is>
      </c>
      <c r="D763" s="4" t="inlineStr">
        <is>
          <t>罗洋</t>
        </is>
      </c>
      <c r="E763" s="7" t="n">
        <v>83</v>
      </c>
      <c r="F763" s="7" t="n">
        <v>63.08</v>
      </c>
      <c r="G763" s="7">
        <f>E763-F763</f>
        <v/>
      </c>
      <c r="H763" s="8">
        <f>IFERROR(F763/E763,0)</f>
        <v/>
      </c>
      <c r="I763" s="4">
        <f>IF(H763&gt;=1,"超预算",IF(H763&gt;=0.9,"预警","正常"))</f>
        <v/>
      </c>
      <c r="J763" s="4">
        <f>RANK(F763,$F$4:$F$1203,0)</f>
        <v/>
      </c>
      <c r="K763" s="4" t="inlineStr">
        <is>
          <t>在建</t>
        </is>
      </c>
    </row>
    <row r="764">
      <c r="A764" s="4" t="n">
        <v>761</v>
      </c>
      <c r="B764" s="5" t="inlineStr">
        <is>
          <t>PJ-2026-0761</t>
        </is>
      </c>
      <c r="C764" s="6" t="inlineStr">
        <is>
          <t>城东路道路改造工程</t>
        </is>
      </c>
      <c r="D764" s="4" t="inlineStr">
        <is>
          <t>张超</t>
        </is>
      </c>
      <c r="E764" s="7" t="n">
        <v>220</v>
      </c>
      <c r="F764" s="7" t="n">
        <v>231</v>
      </c>
      <c r="G764" s="7">
        <f>E764-F764</f>
        <v/>
      </c>
      <c r="H764" s="8">
        <f>IFERROR(F764/E764,0)</f>
        <v/>
      </c>
      <c r="I764" s="4">
        <f>IF(H764&gt;=1,"超预算",IF(H764&gt;=0.9,"预警","正常"))</f>
        <v/>
      </c>
      <c r="J764" s="4">
        <f>RANK(F764,$F$4:$F$1203,0)</f>
        <v/>
      </c>
      <c r="K764" s="4" t="inlineStr">
        <is>
          <t>待启动</t>
        </is>
      </c>
    </row>
    <row r="765">
      <c r="A765" s="4" t="n">
        <v>762</v>
      </c>
      <c r="B765" s="5" t="inlineStr">
        <is>
          <t>PJ-2026-0762</t>
        </is>
      </c>
      <c r="C765" s="6" t="inlineStr">
        <is>
          <t>解放路老旧小区改造项目（二期）</t>
        </is>
      </c>
      <c r="D765" s="4" t="inlineStr">
        <is>
          <t>王英</t>
        </is>
      </c>
      <c r="E765" s="7" t="n">
        <v>357</v>
      </c>
      <c r="F765" s="7" t="n">
        <v>228.48</v>
      </c>
      <c r="G765" s="7">
        <f>E765-F765</f>
        <v/>
      </c>
      <c r="H765" s="8">
        <f>IFERROR(F765/E765,0)</f>
        <v/>
      </c>
      <c r="I765" s="4">
        <f>IF(H765&gt;=1,"超预算",IF(H765&gt;=0.9,"预警","正常"))</f>
        <v/>
      </c>
      <c r="J765" s="4">
        <f>RANK(F765,$F$4:$F$1203,0)</f>
        <v/>
      </c>
      <c r="K765" s="4" t="inlineStr">
        <is>
          <t>完工</t>
        </is>
      </c>
    </row>
    <row r="766">
      <c r="A766" s="4" t="n">
        <v>763</v>
      </c>
      <c r="B766" s="5" t="inlineStr">
        <is>
          <t>PJ-2026-0763</t>
        </is>
      </c>
      <c r="C766" s="6" t="inlineStr">
        <is>
          <t>和平街智慧园区建设项目（三期）</t>
        </is>
      </c>
      <c r="D766" s="4" t="inlineStr">
        <is>
          <t>李强</t>
        </is>
      </c>
      <c r="E766" s="7" t="n">
        <v>494</v>
      </c>
      <c r="F766" s="7" t="n">
        <v>459.42</v>
      </c>
      <c r="G766" s="7">
        <f>E766-F766</f>
        <v/>
      </c>
      <c r="H766" s="8">
        <f>IFERROR(F766/E766,0)</f>
        <v/>
      </c>
      <c r="I766" s="4">
        <f>IF(H766&gt;=1,"超预算",IF(H766&gt;=0.9,"预警","正常"))</f>
        <v/>
      </c>
      <c r="J766" s="4">
        <f>RANK(F766,$F$4:$F$1203,0)</f>
        <v/>
      </c>
      <c r="K766" s="4" t="inlineStr">
        <is>
          <t>在建</t>
        </is>
      </c>
    </row>
    <row r="767">
      <c r="A767" s="4" t="n">
        <v>764</v>
      </c>
      <c r="B767" s="5" t="inlineStr">
        <is>
          <t>PJ-2026-0764</t>
        </is>
      </c>
      <c r="C767" s="6" t="inlineStr">
        <is>
          <t>光明街污水处理扩容工程（四期）</t>
        </is>
      </c>
      <c r="D767" s="4" t="inlineStr">
        <is>
          <t>赵娟</t>
        </is>
      </c>
      <c r="E767" s="7" t="n">
        <v>631</v>
      </c>
      <c r="F767" s="7" t="n">
        <v>328.12</v>
      </c>
      <c r="G767" s="7">
        <f>E767-F767</f>
        <v/>
      </c>
      <c r="H767" s="8">
        <f>IFERROR(F767/E767,0)</f>
        <v/>
      </c>
      <c r="I767" s="4">
        <f>IF(H767&gt;=1,"超预算",IF(H767&gt;=0.9,"预警","正常"))</f>
        <v/>
      </c>
      <c r="J767" s="4">
        <f>RANK(F767,$F$4:$F$1203,0)</f>
        <v/>
      </c>
      <c r="K767" s="4" t="inlineStr">
        <is>
          <t>待启动</t>
        </is>
      </c>
    </row>
    <row r="768">
      <c r="A768" s="4" t="n">
        <v>765</v>
      </c>
      <c r="B768" s="5" t="inlineStr">
        <is>
          <t>PJ-2026-0765</t>
        </is>
      </c>
      <c r="C768" s="6" t="inlineStr">
        <is>
          <t>城东路供水管网更新工程</t>
        </is>
      </c>
      <c r="D768" s="4" t="inlineStr">
        <is>
          <t>刘平</t>
        </is>
      </c>
      <c r="E768" s="7" t="n">
        <v>768</v>
      </c>
      <c r="F768" s="7" t="n">
        <v>622.08</v>
      </c>
      <c r="G768" s="7">
        <f>E768-F768</f>
        <v/>
      </c>
      <c r="H768" s="8">
        <f>IFERROR(F768/E768,0)</f>
        <v/>
      </c>
      <c r="I768" s="4">
        <f>IF(H768&gt;=1,"超预算",IF(H768&gt;=0.9,"预警","正常"))</f>
        <v/>
      </c>
      <c r="J768" s="4">
        <f>RANK(F768,$F$4:$F$1203,0)</f>
        <v/>
      </c>
      <c r="K768" s="4" t="inlineStr">
        <is>
          <t>完工</t>
        </is>
      </c>
    </row>
    <row r="769">
      <c r="A769" s="4" t="n">
        <v>766</v>
      </c>
      <c r="B769" s="5" t="inlineStr">
        <is>
          <t>PJ-2026-0766</t>
        </is>
      </c>
      <c r="C769" s="6" t="inlineStr">
        <is>
          <t>解放路河道综合整治工程（二期）</t>
        </is>
      </c>
      <c r="D769" s="4" t="inlineStr">
        <is>
          <t>陈敏</t>
        </is>
      </c>
      <c r="E769" s="7" t="n">
        <v>905</v>
      </c>
      <c r="F769" s="7" t="n">
        <v>995.5</v>
      </c>
      <c r="G769" s="7">
        <f>E769-F769</f>
        <v/>
      </c>
      <c r="H769" s="8">
        <f>IFERROR(F769/E769,0)</f>
        <v/>
      </c>
      <c r="I769" s="4">
        <f>IF(H769&gt;=1,"超预算",IF(H769&gt;=0.9,"预警","正常"))</f>
        <v/>
      </c>
      <c r="J769" s="4">
        <f>RANK(F769,$F$4:$F$1203,0)</f>
        <v/>
      </c>
      <c r="K769" s="4" t="inlineStr">
        <is>
          <t>在建</t>
        </is>
      </c>
    </row>
    <row r="770">
      <c r="A770" s="4" t="n">
        <v>767</v>
      </c>
      <c r="B770" s="5" t="inlineStr">
        <is>
          <t>PJ-2026-0767</t>
        </is>
      </c>
      <c r="C770" s="6" t="inlineStr">
        <is>
          <t>和平街学校新建工程（三期）</t>
        </is>
      </c>
      <c r="D770" s="4" t="inlineStr">
        <is>
          <t>杨勇</t>
        </is>
      </c>
      <c r="E770" s="7" t="n">
        <v>1042</v>
      </c>
      <c r="F770" s="7" t="n">
        <v>718.98</v>
      </c>
      <c r="G770" s="7">
        <f>E770-F770</f>
        <v/>
      </c>
      <c r="H770" s="8">
        <f>IFERROR(F770/E770,0)</f>
        <v/>
      </c>
      <c r="I770" s="4">
        <f>IF(H770&gt;=1,"超预算",IF(H770&gt;=0.9,"预警","正常"))</f>
        <v/>
      </c>
      <c r="J770" s="4">
        <f>RANK(F770,$F$4:$F$1203,0)</f>
        <v/>
      </c>
      <c r="K770" s="4" t="inlineStr">
        <is>
          <t>待启动</t>
        </is>
      </c>
    </row>
    <row r="771">
      <c r="A771" s="4" t="n">
        <v>768</v>
      </c>
      <c r="B771" s="5" t="inlineStr">
        <is>
          <t>PJ-2026-0768</t>
        </is>
      </c>
      <c r="C771" s="6" t="inlineStr">
        <is>
          <t>光明街医院改扩建项目（四期）</t>
        </is>
      </c>
      <c r="D771" s="4" t="inlineStr">
        <is>
          <t>黄秀</t>
        </is>
      </c>
      <c r="E771" s="7" t="n">
        <v>1179</v>
      </c>
      <c r="F771" s="7" t="n">
        <v>1155.42</v>
      </c>
      <c r="G771" s="7">
        <f>E771-F771</f>
        <v/>
      </c>
      <c r="H771" s="8">
        <f>IFERROR(F771/E771,0)</f>
        <v/>
      </c>
      <c r="I771" s="4">
        <f>IF(H771&gt;=1,"超预算",IF(H771&gt;=0.9,"预警","正常"))</f>
        <v/>
      </c>
      <c r="J771" s="4">
        <f>RANK(F771,$F$4:$F$1203,0)</f>
        <v/>
      </c>
      <c r="K771" s="4" t="inlineStr">
        <is>
          <t>完工</t>
        </is>
      </c>
    </row>
    <row r="772">
      <c r="A772" s="4" t="n">
        <v>769</v>
      </c>
      <c r="B772" s="5" t="inlineStr">
        <is>
          <t>PJ-2026-0769</t>
        </is>
      </c>
      <c r="C772" s="6" t="inlineStr">
        <is>
          <t>城东路公交枢纽建设工程</t>
        </is>
      </c>
      <c r="D772" s="4" t="inlineStr">
        <is>
          <t>周伟</t>
        </is>
      </c>
      <c r="E772" s="7" t="n">
        <v>1316</v>
      </c>
      <c r="F772" s="7" t="n">
        <v>750.12</v>
      </c>
      <c r="G772" s="7">
        <f>E772-F772</f>
        <v/>
      </c>
      <c r="H772" s="8">
        <f>IFERROR(F772/E772,0)</f>
        <v/>
      </c>
      <c r="I772" s="4">
        <f>IF(H772&gt;=1,"超预算",IF(H772&gt;=0.9,"预警","正常"))</f>
        <v/>
      </c>
      <c r="J772" s="4">
        <f>RANK(F772,$F$4:$F$1203,0)</f>
        <v/>
      </c>
      <c r="K772" s="4" t="inlineStr">
        <is>
          <t>在建</t>
        </is>
      </c>
    </row>
    <row r="773">
      <c r="A773" s="4" t="n">
        <v>770</v>
      </c>
      <c r="B773" s="5" t="inlineStr">
        <is>
          <t>PJ-2026-0770</t>
        </is>
      </c>
      <c r="C773" s="6" t="inlineStr">
        <is>
          <t>解放路公共停车场建设工程（二期）</t>
        </is>
      </c>
      <c r="D773" s="4" t="inlineStr">
        <is>
          <t>吴磊</t>
        </is>
      </c>
      <c r="E773" s="7" t="n">
        <v>1453</v>
      </c>
      <c r="F773" s="7" t="n">
        <v>1249.58</v>
      </c>
      <c r="G773" s="7">
        <f>E773-F773</f>
        <v/>
      </c>
      <c r="H773" s="8">
        <f>IFERROR(F773/E773,0)</f>
        <v/>
      </c>
      <c r="I773" s="4">
        <f>IF(H773&gt;=1,"超预算",IF(H773&gt;=0.9,"预警","正常"))</f>
        <v/>
      </c>
      <c r="J773" s="4">
        <f>RANK(F773,$F$4:$F$1203,0)</f>
        <v/>
      </c>
      <c r="K773" s="4" t="inlineStr">
        <is>
          <t>待启动</t>
        </is>
      </c>
    </row>
    <row r="774">
      <c r="A774" s="4" t="n">
        <v>771</v>
      </c>
      <c r="B774" s="5" t="inlineStr">
        <is>
          <t>PJ-2026-0771</t>
        </is>
      </c>
      <c r="C774" s="6" t="inlineStr">
        <is>
          <t>和平街道路改造工程（三期）</t>
        </is>
      </c>
      <c r="D774" s="4" t="inlineStr">
        <is>
          <t>徐涛</t>
        </is>
      </c>
      <c r="E774" s="7" t="n">
        <v>1590</v>
      </c>
      <c r="F774" s="7" t="n">
        <v>715.5</v>
      </c>
      <c r="G774" s="7">
        <f>E774-F774</f>
        <v/>
      </c>
      <c r="H774" s="8">
        <f>IFERROR(F774/E774,0)</f>
        <v/>
      </c>
      <c r="I774" s="4">
        <f>IF(H774&gt;=1,"超预算",IF(H774&gt;=0.9,"预警","正常"))</f>
        <v/>
      </c>
      <c r="J774" s="4">
        <f>RANK(F774,$F$4:$F$1203,0)</f>
        <v/>
      </c>
      <c r="K774" s="4" t="inlineStr">
        <is>
          <t>完工</t>
        </is>
      </c>
    </row>
    <row r="775">
      <c r="A775" s="4" t="n">
        <v>772</v>
      </c>
      <c r="B775" s="5" t="inlineStr">
        <is>
          <t>PJ-2026-0772</t>
        </is>
      </c>
      <c r="C775" s="6" t="inlineStr">
        <is>
          <t>光明街老旧小区改造项目（四期）</t>
        </is>
      </c>
      <c r="D775" s="4" t="inlineStr">
        <is>
          <t>孙刚</t>
        </is>
      </c>
      <c r="E775" s="7" t="n">
        <v>1727</v>
      </c>
      <c r="F775" s="7" t="n">
        <v>1277.98</v>
      </c>
      <c r="G775" s="7">
        <f>E775-F775</f>
        <v/>
      </c>
      <c r="H775" s="8">
        <f>IFERROR(F775/E775,0)</f>
        <v/>
      </c>
      <c r="I775" s="4">
        <f>IF(H775&gt;=1,"超预算",IF(H775&gt;=0.9,"预警","正常"))</f>
        <v/>
      </c>
      <c r="J775" s="4">
        <f>RANK(F775,$F$4:$F$1203,0)</f>
        <v/>
      </c>
      <c r="K775" s="4" t="inlineStr">
        <is>
          <t>在建</t>
        </is>
      </c>
    </row>
    <row r="776">
      <c r="A776" s="4" t="n">
        <v>773</v>
      </c>
      <c r="B776" s="5" t="inlineStr">
        <is>
          <t>PJ-2026-0773</t>
        </is>
      </c>
      <c r="C776" s="6" t="inlineStr">
        <is>
          <t>城东路智慧园区建设项目</t>
        </is>
      </c>
      <c r="D776" s="4" t="inlineStr">
        <is>
          <t>马静</t>
        </is>
      </c>
      <c r="E776" s="7" t="n">
        <v>1864</v>
      </c>
      <c r="F776" s="7" t="n">
        <v>1919.92</v>
      </c>
      <c r="G776" s="7">
        <f>E776-F776</f>
        <v/>
      </c>
      <c r="H776" s="8">
        <f>IFERROR(F776/E776,0)</f>
        <v/>
      </c>
      <c r="I776" s="4">
        <f>IF(H776&gt;=1,"超预算",IF(H776&gt;=0.9,"预警","正常"))</f>
        <v/>
      </c>
      <c r="J776" s="4">
        <f>RANK(F776,$F$4:$F$1203,0)</f>
        <v/>
      </c>
      <c r="K776" s="4" t="inlineStr">
        <is>
          <t>待启动</t>
        </is>
      </c>
    </row>
    <row r="777">
      <c r="A777" s="4" t="n">
        <v>774</v>
      </c>
      <c r="B777" s="5" t="inlineStr">
        <is>
          <t>PJ-2026-0774</t>
        </is>
      </c>
      <c r="C777" s="6" t="inlineStr">
        <is>
          <t>解放路污水处理扩容工程（二期）</t>
        </is>
      </c>
      <c r="D777" s="4" t="inlineStr">
        <is>
          <t>朱艳</t>
        </is>
      </c>
      <c r="E777" s="7" t="n">
        <v>2001</v>
      </c>
      <c r="F777" s="7" t="n">
        <v>1240.62</v>
      </c>
      <c r="G777" s="7">
        <f>E777-F777</f>
        <v/>
      </c>
      <c r="H777" s="8">
        <f>IFERROR(F777/E777,0)</f>
        <v/>
      </c>
      <c r="I777" s="4">
        <f>IF(H777&gt;=1,"超预算",IF(H777&gt;=0.9,"预警","正常"))</f>
        <v/>
      </c>
      <c r="J777" s="4">
        <f>RANK(F777,$F$4:$F$1203,0)</f>
        <v/>
      </c>
      <c r="K777" s="4" t="inlineStr">
        <is>
          <t>完工</t>
        </is>
      </c>
    </row>
    <row r="778">
      <c r="A778" s="4" t="n">
        <v>775</v>
      </c>
      <c r="B778" s="5" t="inlineStr">
        <is>
          <t>PJ-2026-0775</t>
        </is>
      </c>
      <c r="C778" s="6" t="inlineStr">
        <is>
          <t>和平街供水管网更新工程（三期）</t>
        </is>
      </c>
      <c r="D778" s="4" t="inlineStr">
        <is>
          <t>胡英</t>
        </is>
      </c>
      <c r="E778" s="7" t="n">
        <v>2138</v>
      </c>
      <c r="F778" s="7" t="n">
        <v>1945.58</v>
      </c>
      <c r="G778" s="7">
        <f>E778-F778</f>
        <v/>
      </c>
      <c r="H778" s="8">
        <f>IFERROR(F778/E778,0)</f>
        <v/>
      </c>
      <c r="I778" s="4">
        <f>IF(H778&gt;=1,"超预算",IF(H778&gt;=0.9,"预警","正常"))</f>
        <v/>
      </c>
      <c r="J778" s="4">
        <f>RANK(F778,$F$4:$F$1203,0)</f>
        <v/>
      </c>
      <c r="K778" s="4" t="inlineStr">
        <is>
          <t>在建</t>
        </is>
      </c>
    </row>
    <row r="779">
      <c r="A779" s="4" t="n">
        <v>776</v>
      </c>
      <c r="B779" s="5" t="inlineStr">
        <is>
          <t>PJ-2026-0776</t>
        </is>
      </c>
      <c r="C779" s="6" t="inlineStr">
        <is>
          <t>光明街河道综合整治工程（四期）</t>
        </is>
      </c>
      <c r="D779" s="4" t="inlineStr">
        <is>
          <t>郭芳</t>
        </is>
      </c>
      <c r="E779" s="7" t="n">
        <v>2275</v>
      </c>
      <c r="F779" s="7" t="n">
        <v>1137.5</v>
      </c>
      <c r="G779" s="7">
        <f>E779-F779</f>
        <v/>
      </c>
      <c r="H779" s="8">
        <f>IFERROR(F779/E779,0)</f>
        <v/>
      </c>
      <c r="I779" s="4">
        <f>IF(H779&gt;=1,"超预算",IF(H779&gt;=0.9,"预警","正常"))</f>
        <v/>
      </c>
      <c r="J779" s="4">
        <f>RANK(F779,$F$4:$F$1203,0)</f>
        <v/>
      </c>
      <c r="K779" s="4" t="inlineStr">
        <is>
          <t>待启动</t>
        </is>
      </c>
    </row>
    <row r="780">
      <c r="A780" s="4" t="n">
        <v>777</v>
      </c>
      <c r="B780" s="5" t="inlineStr">
        <is>
          <t>PJ-2026-0777</t>
        </is>
      </c>
      <c r="C780" s="6" t="inlineStr">
        <is>
          <t>城东路学校新建工程</t>
        </is>
      </c>
      <c r="D780" s="4" t="inlineStr">
        <is>
          <t>何军</t>
        </is>
      </c>
      <c r="E780" s="7" t="n">
        <v>2412</v>
      </c>
      <c r="F780" s="7" t="n">
        <v>1905.48</v>
      </c>
      <c r="G780" s="7">
        <f>E780-F780</f>
        <v/>
      </c>
      <c r="H780" s="8">
        <f>IFERROR(F780/E780,0)</f>
        <v/>
      </c>
      <c r="I780" s="4">
        <f>IF(H780&gt;=1,"超预算",IF(H780&gt;=0.9,"预警","正常"))</f>
        <v/>
      </c>
      <c r="J780" s="4">
        <f>RANK(F780,$F$4:$F$1203,0)</f>
        <v/>
      </c>
      <c r="K780" s="4" t="inlineStr">
        <is>
          <t>完工</t>
        </is>
      </c>
    </row>
    <row r="781">
      <c r="A781" s="4" t="n">
        <v>778</v>
      </c>
      <c r="B781" s="5" t="inlineStr">
        <is>
          <t>PJ-2026-0778</t>
        </is>
      </c>
      <c r="C781" s="6" t="inlineStr">
        <is>
          <t>解放路医院改扩建项目（二期）</t>
        </is>
      </c>
      <c r="D781" s="4" t="inlineStr">
        <is>
          <t>高明</t>
        </is>
      </c>
      <c r="E781" s="7" t="n">
        <v>2549</v>
      </c>
      <c r="F781" s="7" t="n">
        <v>2752.92</v>
      </c>
      <c r="G781" s="7">
        <f>E781-F781</f>
        <v/>
      </c>
      <c r="H781" s="8">
        <f>IFERROR(F781/E781,0)</f>
        <v/>
      </c>
      <c r="I781" s="4">
        <f>IF(H781&gt;=1,"超预算",IF(H781&gt;=0.9,"预警","正常"))</f>
        <v/>
      </c>
      <c r="J781" s="4">
        <f>RANK(F781,$F$4:$F$1203,0)</f>
        <v/>
      </c>
      <c r="K781" s="4" t="inlineStr">
        <is>
          <t>在建</t>
        </is>
      </c>
    </row>
    <row r="782">
      <c r="A782" s="4" t="n">
        <v>779</v>
      </c>
      <c r="B782" s="5" t="inlineStr">
        <is>
          <t>PJ-2026-0779</t>
        </is>
      </c>
      <c r="C782" s="6" t="inlineStr">
        <is>
          <t>和平街公交枢纽建设工程（三期）</t>
        </is>
      </c>
      <c r="D782" s="4" t="inlineStr">
        <is>
          <t>林桂</t>
        </is>
      </c>
      <c r="E782" s="7" t="n">
        <v>2686</v>
      </c>
      <c r="F782" s="7" t="n">
        <v>1799.62</v>
      </c>
      <c r="G782" s="7">
        <f>E782-F782</f>
        <v/>
      </c>
      <c r="H782" s="8">
        <f>IFERROR(F782/E782,0)</f>
        <v/>
      </c>
      <c r="I782" s="4">
        <f>IF(H782&gt;=1,"超预算",IF(H782&gt;=0.9,"预警","正常"))</f>
        <v/>
      </c>
      <c r="J782" s="4">
        <f>RANK(F782,$F$4:$F$1203,0)</f>
        <v/>
      </c>
      <c r="K782" s="4" t="inlineStr">
        <is>
          <t>待启动</t>
        </is>
      </c>
    </row>
    <row r="783">
      <c r="A783" s="4" t="n">
        <v>780</v>
      </c>
      <c r="B783" s="5" t="inlineStr">
        <is>
          <t>PJ-2026-0780</t>
        </is>
      </c>
      <c r="C783" s="6" t="inlineStr">
        <is>
          <t>光明街公共停车场建设工程（四期）</t>
        </is>
      </c>
      <c r="D783" s="4" t="inlineStr">
        <is>
          <t>罗丽</t>
        </is>
      </c>
      <c r="E783" s="7" t="n">
        <v>2823</v>
      </c>
      <c r="F783" s="7" t="n">
        <v>2710.08</v>
      </c>
      <c r="G783" s="7">
        <f>E783-F783</f>
        <v/>
      </c>
      <c r="H783" s="8">
        <f>IFERROR(F783/E783,0)</f>
        <v/>
      </c>
      <c r="I783" s="4">
        <f>IF(H783&gt;=1,"超预算",IF(H783&gt;=0.9,"预警","正常"))</f>
        <v/>
      </c>
      <c r="J783" s="4">
        <f>RANK(F783,$F$4:$F$1203,0)</f>
        <v/>
      </c>
      <c r="K783" s="4" t="inlineStr">
        <is>
          <t>完工</t>
        </is>
      </c>
    </row>
    <row r="784">
      <c r="A784" s="4" t="n">
        <v>781</v>
      </c>
      <c r="B784" s="5" t="inlineStr">
        <is>
          <t>PJ-2026-0781</t>
        </is>
      </c>
      <c r="C784" s="6" t="inlineStr">
        <is>
          <t>城东路道路改造工程</t>
        </is>
      </c>
      <c r="D784" s="4" t="inlineStr">
        <is>
          <t>张杰</t>
        </is>
      </c>
      <c r="E784" s="7" t="n">
        <v>2960</v>
      </c>
      <c r="F784" s="7" t="n">
        <v>1628</v>
      </c>
      <c r="G784" s="7">
        <f>E784-F784</f>
        <v/>
      </c>
      <c r="H784" s="8">
        <f>IFERROR(F784/E784,0)</f>
        <v/>
      </c>
      <c r="I784" s="4">
        <f>IF(H784&gt;=1,"超预算",IF(H784&gt;=0.9,"预警","正常"))</f>
        <v/>
      </c>
      <c r="J784" s="4">
        <f>RANK(F784,$F$4:$F$1203,0)</f>
        <v/>
      </c>
      <c r="K784" s="4" t="inlineStr">
        <is>
          <t>在建</t>
        </is>
      </c>
    </row>
    <row r="785">
      <c r="A785" s="4" t="n">
        <v>782</v>
      </c>
      <c r="B785" s="5" t="inlineStr">
        <is>
          <t>PJ-2026-0782</t>
        </is>
      </c>
      <c r="C785" s="6" t="inlineStr">
        <is>
          <t>解放路老旧小区改造项目（二期）</t>
        </is>
      </c>
      <c r="D785" s="4" t="inlineStr">
        <is>
          <t>王霞</t>
        </is>
      </c>
      <c r="E785" s="7" t="n">
        <v>3097</v>
      </c>
      <c r="F785" s="7" t="n">
        <v>2601.48</v>
      </c>
      <c r="G785" s="7">
        <f>E785-F785</f>
        <v/>
      </c>
      <c r="H785" s="8">
        <f>IFERROR(F785/E785,0)</f>
        <v/>
      </c>
      <c r="I785" s="4">
        <f>IF(H785&gt;=1,"超预算",IF(H785&gt;=0.9,"预警","正常"))</f>
        <v/>
      </c>
      <c r="J785" s="4">
        <f>RANK(F785,$F$4:$F$1203,0)</f>
        <v/>
      </c>
      <c r="K785" s="4" t="inlineStr">
        <is>
          <t>待启动</t>
        </is>
      </c>
    </row>
    <row r="786">
      <c r="A786" s="4" t="n">
        <v>783</v>
      </c>
      <c r="B786" s="5" t="inlineStr">
        <is>
          <t>PJ-2026-0783</t>
        </is>
      </c>
      <c r="C786" s="6" t="inlineStr">
        <is>
          <t>和平街智慧园区建设项目（三期）</t>
        </is>
      </c>
      <c r="D786" s="4" t="inlineStr">
        <is>
          <t>李娜</t>
        </is>
      </c>
      <c r="E786" s="7" t="n">
        <v>3234</v>
      </c>
      <c r="F786" s="7" t="n">
        <v>3654.42</v>
      </c>
      <c r="G786" s="7">
        <f>E786-F786</f>
        <v/>
      </c>
      <c r="H786" s="8">
        <f>IFERROR(F786/E786,0)</f>
        <v/>
      </c>
      <c r="I786" s="4">
        <f>IF(H786&gt;=1,"超预算",IF(H786&gt;=0.9,"预警","正常"))</f>
        <v/>
      </c>
      <c r="J786" s="4">
        <f>RANK(F786,$F$4:$F$1203,0)</f>
        <v/>
      </c>
      <c r="K786" s="4" t="inlineStr">
        <is>
          <t>完工</t>
        </is>
      </c>
    </row>
    <row r="787">
      <c r="A787" s="4" t="n">
        <v>784</v>
      </c>
      <c r="B787" s="5" t="inlineStr">
        <is>
          <t>PJ-2026-0784</t>
        </is>
      </c>
      <c r="C787" s="6" t="inlineStr">
        <is>
          <t>光明街污水处理扩容工程（四期）</t>
        </is>
      </c>
      <c r="D787" s="4" t="inlineStr">
        <is>
          <t>赵洋</t>
        </is>
      </c>
      <c r="E787" s="7" t="n">
        <v>3371</v>
      </c>
      <c r="F787" s="7" t="n">
        <v>2427.12</v>
      </c>
      <c r="G787" s="7">
        <f>E787-F787</f>
        <v/>
      </c>
      <c r="H787" s="8">
        <f>IFERROR(F787/E787,0)</f>
        <v/>
      </c>
      <c r="I787" s="4">
        <f>IF(H787&gt;=1,"超预算",IF(H787&gt;=0.9,"预警","正常"))</f>
        <v/>
      </c>
      <c r="J787" s="4">
        <f>RANK(F787,$F$4:$F$1203,0)</f>
        <v/>
      </c>
      <c r="K787" s="4" t="inlineStr">
        <is>
          <t>在建</t>
        </is>
      </c>
    </row>
    <row r="788">
      <c r="A788" s="4" t="n">
        <v>785</v>
      </c>
      <c r="B788" s="5" t="inlineStr">
        <is>
          <t>PJ-2026-0785</t>
        </is>
      </c>
      <c r="C788" s="6" t="inlineStr">
        <is>
          <t>城东路供水管网更新工程</t>
        </is>
      </c>
      <c r="D788" s="4" t="inlineStr">
        <is>
          <t>刘超</t>
        </is>
      </c>
      <c r="E788" s="7" t="n">
        <v>3508</v>
      </c>
      <c r="F788" s="7" t="n">
        <v>3543.08</v>
      </c>
      <c r="G788" s="7">
        <f>E788-F788</f>
        <v/>
      </c>
      <c r="H788" s="8">
        <f>IFERROR(F788/E788,0)</f>
        <v/>
      </c>
      <c r="I788" s="4">
        <f>IF(H788&gt;=1,"超预算",IF(H788&gt;=0.9,"预警","正常"))</f>
        <v/>
      </c>
      <c r="J788" s="4">
        <f>RANK(F788,$F$4:$F$1203,0)</f>
        <v/>
      </c>
      <c r="K788" s="4" t="inlineStr">
        <is>
          <t>待启动</t>
        </is>
      </c>
    </row>
    <row r="789">
      <c r="A789" s="4" t="n">
        <v>786</v>
      </c>
      <c r="B789" s="5" t="inlineStr">
        <is>
          <t>PJ-2026-0786</t>
        </is>
      </c>
      <c r="C789" s="6" t="inlineStr">
        <is>
          <t>解放路河道综合整治工程（二期）</t>
        </is>
      </c>
      <c r="D789" s="4" t="inlineStr">
        <is>
          <t>陈英</t>
        </is>
      </c>
      <c r="E789" s="7" t="n">
        <v>3645</v>
      </c>
      <c r="F789" s="7" t="n">
        <v>2187</v>
      </c>
      <c r="G789" s="7">
        <f>E789-F789</f>
        <v/>
      </c>
      <c r="H789" s="8">
        <f>IFERROR(F789/E789,0)</f>
        <v/>
      </c>
      <c r="I789" s="4">
        <f>IF(H789&gt;=1,"超预算",IF(H789&gt;=0.9,"预警","正常"))</f>
        <v/>
      </c>
      <c r="J789" s="4">
        <f>RANK(F789,$F$4:$F$1203,0)</f>
        <v/>
      </c>
      <c r="K789" s="4" t="inlineStr">
        <is>
          <t>完工</t>
        </is>
      </c>
    </row>
    <row r="790">
      <c r="A790" s="4" t="n">
        <v>787</v>
      </c>
      <c r="B790" s="5" t="inlineStr">
        <is>
          <t>PJ-2026-0787</t>
        </is>
      </c>
      <c r="C790" s="6" t="inlineStr">
        <is>
          <t>和平街学校新建工程（三期）</t>
        </is>
      </c>
      <c r="D790" s="4" t="inlineStr">
        <is>
          <t>杨强</t>
        </is>
      </c>
      <c r="E790" s="7" t="n">
        <v>3782</v>
      </c>
      <c r="F790" s="7" t="n">
        <v>3365.98</v>
      </c>
      <c r="G790" s="7">
        <f>E790-F790</f>
        <v/>
      </c>
      <c r="H790" s="8">
        <f>IFERROR(F790/E790,0)</f>
        <v/>
      </c>
      <c r="I790" s="4">
        <f>IF(H790&gt;=1,"超预算",IF(H790&gt;=0.9,"预警","正常"))</f>
        <v/>
      </c>
      <c r="J790" s="4">
        <f>RANK(F790,$F$4:$F$1203,0)</f>
        <v/>
      </c>
      <c r="K790" s="4" t="inlineStr">
        <is>
          <t>在建</t>
        </is>
      </c>
    </row>
    <row r="791">
      <c r="A791" s="4" t="n">
        <v>788</v>
      </c>
      <c r="B791" s="5" t="inlineStr">
        <is>
          <t>PJ-2026-0788</t>
        </is>
      </c>
      <c r="C791" s="6" t="inlineStr">
        <is>
          <t>光明街医院改扩建项目（四期）</t>
        </is>
      </c>
      <c r="D791" s="4" t="inlineStr">
        <is>
          <t>黄娟</t>
        </is>
      </c>
      <c r="E791" s="7" t="n">
        <v>3919</v>
      </c>
      <c r="F791" s="7" t="n">
        <v>1881.12</v>
      </c>
      <c r="G791" s="7">
        <f>E791-F791</f>
        <v/>
      </c>
      <c r="H791" s="8">
        <f>IFERROR(F791/E791,0)</f>
        <v/>
      </c>
      <c r="I791" s="4">
        <f>IF(H791&gt;=1,"超预算",IF(H791&gt;=0.9,"预警","正常"))</f>
        <v/>
      </c>
      <c r="J791" s="4">
        <f>RANK(F791,$F$4:$F$1203,0)</f>
        <v/>
      </c>
      <c r="K791" s="4" t="inlineStr">
        <is>
          <t>待启动</t>
        </is>
      </c>
    </row>
    <row r="792">
      <c r="A792" s="4" t="n">
        <v>789</v>
      </c>
      <c r="B792" s="5" t="inlineStr">
        <is>
          <t>PJ-2026-0789</t>
        </is>
      </c>
      <c r="C792" s="6" t="inlineStr">
        <is>
          <t>城东路公交枢纽建设工程</t>
        </is>
      </c>
      <c r="D792" s="4" t="inlineStr">
        <is>
          <t>周平</t>
        </is>
      </c>
      <c r="E792" s="7" t="n">
        <v>4056</v>
      </c>
      <c r="F792" s="7" t="n">
        <v>3123.12</v>
      </c>
      <c r="G792" s="7">
        <f>E792-F792</f>
        <v/>
      </c>
      <c r="H792" s="8">
        <f>IFERROR(F792/E792,0)</f>
        <v/>
      </c>
      <c r="I792" s="4">
        <f>IF(H792&gt;=1,"超预算",IF(H792&gt;=0.9,"预警","正常"))</f>
        <v/>
      </c>
      <c r="J792" s="4">
        <f>RANK(F792,$F$4:$F$1203,0)</f>
        <v/>
      </c>
      <c r="K792" s="4" t="inlineStr">
        <is>
          <t>完工</t>
        </is>
      </c>
    </row>
    <row r="793">
      <c r="A793" s="4" t="n">
        <v>790</v>
      </c>
      <c r="B793" s="5" t="inlineStr">
        <is>
          <t>PJ-2026-0790</t>
        </is>
      </c>
      <c r="C793" s="6" t="inlineStr">
        <is>
          <t>解放路公共停车场建设工程（二期）</t>
        </is>
      </c>
      <c r="D793" s="4" t="inlineStr">
        <is>
          <t>吴敏</t>
        </is>
      </c>
      <c r="E793" s="7" t="n">
        <v>4193</v>
      </c>
      <c r="F793" s="7" t="n">
        <v>4444.58</v>
      </c>
      <c r="G793" s="7">
        <f>E793-F793</f>
        <v/>
      </c>
      <c r="H793" s="8">
        <f>IFERROR(F793/E793,0)</f>
        <v/>
      </c>
      <c r="I793" s="4">
        <f>IF(H793&gt;=1,"超预算",IF(H793&gt;=0.9,"预警","正常"))</f>
        <v/>
      </c>
      <c r="J793" s="4">
        <f>RANK(F793,$F$4:$F$1203,0)</f>
        <v/>
      </c>
      <c r="K793" s="4" t="inlineStr">
        <is>
          <t>在建</t>
        </is>
      </c>
    </row>
    <row r="794">
      <c r="A794" s="4" t="n">
        <v>791</v>
      </c>
      <c r="B794" s="5" t="inlineStr">
        <is>
          <t>PJ-2026-0791</t>
        </is>
      </c>
      <c r="C794" s="6" t="inlineStr">
        <is>
          <t>和平街道路改造工程（三期）</t>
        </is>
      </c>
      <c r="D794" s="4" t="inlineStr">
        <is>
          <t>徐勇</t>
        </is>
      </c>
      <c r="E794" s="7" t="n">
        <v>4330</v>
      </c>
      <c r="F794" s="7" t="n">
        <v>2814.5</v>
      </c>
      <c r="G794" s="7">
        <f>E794-F794</f>
        <v/>
      </c>
      <c r="H794" s="8">
        <f>IFERROR(F794/E794,0)</f>
        <v/>
      </c>
      <c r="I794" s="4">
        <f>IF(H794&gt;=1,"超预算",IF(H794&gt;=0.9,"预警","正常"))</f>
        <v/>
      </c>
      <c r="J794" s="4">
        <f>RANK(F794,$F$4:$F$1203,0)</f>
        <v/>
      </c>
      <c r="K794" s="4" t="inlineStr">
        <is>
          <t>待启动</t>
        </is>
      </c>
    </row>
    <row r="795">
      <c r="A795" s="4" t="n">
        <v>792</v>
      </c>
      <c r="B795" s="5" t="inlineStr">
        <is>
          <t>PJ-2026-0792</t>
        </is>
      </c>
      <c r="C795" s="6" t="inlineStr">
        <is>
          <t>光明街老旧小区改造项目（四期）</t>
        </is>
      </c>
      <c r="D795" s="4" t="inlineStr">
        <is>
          <t>孙秀</t>
        </is>
      </c>
      <c r="E795" s="7" t="n">
        <v>4467</v>
      </c>
      <c r="F795" s="7" t="n">
        <v>4198.98</v>
      </c>
      <c r="G795" s="7">
        <f>E795-F795</f>
        <v/>
      </c>
      <c r="H795" s="8">
        <f>IFERROR(F795/E795,0)</f>
        <v/>
      </c>
      <c r="I795" s="4">
        <f>IF(H795&gt;=1,"超预算",IF(H795&gt;=0.9,"预警","正常"))</f>
        <v/>
      </c>
      <c r="J795" s="4">
        <f>RANK(F795,$F$4:$F$1203,0)</f>
        <v/>
      </c>
      <c r="K795" s="4" t="inlineStr">
        <is>
          <t>完工</t>
        </is>
      </c>
    </row>
    <row r="796">
      <c r="A796" s="4" t="n">
        <v>793</v>
      </c>
      <c r="B796" s="5" t="inlineStr">
        <is>
          <t>PJ-2026-0793</t>
        </is>
      </c>
      <c r="C796" s="6" t="inlineStr">
        <is>
          <t>城东路智慧园区建设项目</t>
        </is>
      </c>
      <c r="D796" s="4" t="inlineStr">
        <is>
          <t>马伟</t>
        </is>
      </c>
      <c r="E796" s="7" t="n">
        <v>4604</v>
      </c>
      <c r="F796" s="7" t="n">
        <v>2440.12</v>
      </c>
      <c r="G796" s="7">
        <f>E796-F796</f>
        <v/>
      </c>
      <c r="H796" s="8">
        <f>IFERROR(F796/E796,0)</f>
        <v/>
      </c>
      <c r="I796" s="4">
        <f>IF(H796&gt;=1,"超预算",IF(H796&gt;=0.9,"预警","正常"))</f>
        <v/>
      </c>
      <c r="J796" s="4">
        <f>RANK(F796,$F$4:$F$1203,0)</f>
        <v/>
      </c>
      <c r="K796" s="4" t="inlineStr">
        <is>
          <t>在建</t>
        </is>
      </c>
    </row>
    <row r="797">
      <c r="A797" s="4" t="n">
        <v>794</v>
      </c>
      <c r="B797" s="5" t="inlineStr">
        <is>
          <t>PJ-2026-0794</t>
        </is>
      </c>
      <c r="C797" s="6" t="inlineStr">
        <is>
          <t>解放路污水处理扩容工程（二期）</t>
        </is>
      </c>
      <c r="D797" s="4" t="inlineStr">
        <is>
          <t>朱磊</t>
        </is>
      </c>
      <c r="E797" s="7" t="n">
        <v>4741</v>
      </c>
      <c r="F797" s="7" t="n">
        <v>3887.62</v>
      </c>
      <c r="G797" s="7">
        <f>E797-F797</f>
        <v/>
      </c>
      <c r="H797" s="8">
        <f>IFERROR(F797/E797,0)</f>
        <v/>
      </c>
      <c r="I797" s="4">
        <f>IF(H797&gt;=1,"超预算",IF(H797&gt;=0.9,"预警","正常"))</f>
        <v/>
      </c>
      <c r="J797" s="4">
        <f>RANK(F797,$F$4:$F$1203,0)</f>
        <v/>
      </c>
      <c r="K797" s="4" t="inlineStr">
        <is>
          <t>待启动</t>
        </is>
      </c>
    </row>
    <row r="798">
      <c r="A798" s="4" t="n">
        <v>795</v>
      </c>
      <c r="B798" s="5" t="inlineStr">
        <is>
          <t>PJ-2026-0795</t>
        </is>
      </c>
      <c r="C798" s="6" t="inlineStr">
        <is>
          <t>和平街供水管网更新工程（三期）</t>
        </is>
      </c>
      <c r="D798" s="4" t="inlineStr">
        <is>
          <t>胡涛</t>
        </is>
      </c>
      <c r="E798" s="7" t="n">
        <v>4878</v>
      </c>
      <c r="F798" s="7" t="n">
        <v>5414.58</v>
      </c>
      <c r="G798" s="7">
        <f>E798-F798</f>
        <v/>
      </c>
      <c r="H798" s="8">
        <f>IFERROR(F798/E798,0)</f>
        <v/>
      </c>
      <c r="I798" s="4">
        <f>IF(H798&gt;=1,"超预算",IF(H798&gt;=0.9,"预警","正常"))</f>
        <v/>
      </c>
      <c r="J798" s="4">
        <f>RANK(F798,$F$4:$F$1203,0)</f>
        <v/>
      </c>
      <c r="K798" s="4" t="inlineStr">
        <is>
          <t>完工</t>
        </is>
      </c>
    </row>
    <row r="799">
      <c r="A799" s="4" t="n">
        <v>796</v>
      </c>
      <c r="B799" s="5" t="inlineStr">
        <is>
          <t>PJ-2026-0796</t>
        </is>
      </c>
      <c r="C799" s="6" t="inlineStr">
        <is>
          <t>光明街河道综合整治工程（四期）</t>
        </is>
      </c>
      <c r="D799" s="4" t="inlineStr">
        <is>
          <t>郭刚</t>
        </is>
      </c>
      <c r="E799" s="7" t="n">
        <v>65</v>
      </c>
      <c r="F799" s="7" t="n">
        <v>45.5</v>
      </c>
      <c r="G799" s="7">
        <f>E799-F799</f>
        <v/>
      </c>
      <c r="H799" s="8">
        <f>IFERROR(F799/E799,0)</f>
        <v/>
      </c>
      <c r="I799" s="4">
        <f>IF(H799&gt;=1,"超预算",IF(H799&gt;=0.9,"预警","正常"))</f>
        <v/>
      </c>
      <c r="J799" s="4">
        <f>RANK(F799,$F$4:$F$1203,0)</f>
        <v/>
      </c>
      <c r="K799" s="4" t="inlineStr">
        <is>
          <t>在建</t>
        </is>
      </c>
    </row>
    <row r="800">
      <c r="A800" s="4" t="n">
        <v>797</v>
      </c>
      <c r="B800" s="5" t="inlineStr">
        <is>
          <t>PJ-2026-0797</t>
        </is>
      </c>
      <c r="C800" s="6" t="inlineStr">
        <is>
          <t>城东路学校新建工程</t>
        </is>
      </c>
      <c r="D800" s="4" t="inlineStr">
        <is>
          <t>何静</t>
        </is>
      </c>
      <c r="E800" s="7" t="n">
        <v>202</v>
      </c>
      <c r="F800" s="7" t="n">
        <v>199.98</v>
      </c>
      <c r="G800" s="7">
        <f>E800-F800</f>
        <v/>
      </c>
      <c r="H800" s="8">
        <f>IFERROR(F800/E800,0)</f>
        <v/>
      </c>
      <c r="I800" s="4">
        <f>IF(H800&gt;=1,"超预算",IF(H800&gt;=0.9,"预警","正常"))</f>
        <v/>
      </c>
      <c r="J800" s="4">
        <f>RANK(F800,$F$4:$F$1203,0)</f>
        <v/>
      </c>
      <c r="K800" s="4" t="inlineStr">
        <is>
          <t>待启动</t>
        </is>
      </c>
    </row>
    <row r="801">
      <c r="A801" s="4" t="n">
        <v>798</v>
      </c>
      <c r="B801" s="5" t="inlineStr">
        <is>
          <t>PJ-2026-0798</t>
        </is>
      </c>
      <c r="C801" s="6" t="inlineStr">
        <is>
          <t>解放路医院改扩建项目（二期）</t>
        </is>
      </c>
      <c r="D801" s="4" t="inlineStr">
        <is>
          <t>高艳</t>
        </is>
      </c>
      <c r="E801" s="7" t="n">
        <v>339</v>
      </c>
      <c r="F801" s="7" t="n">
        <v>196.62</v>
      </c>
      <c r="G801" s="7">
        <f>E801-F801</f>
        <v/>
      </c>
      <c r="H801" s="8">
        <f>IFERROR(F801/E801,0)</f>
        <v/>
      </c>
      <c r="I801" s="4">
        <f>IF(H801&gt;=1,"超预算",IF(H801&gt;=0.9,"预警","正常"))</f>
        <v/>
      </c>
      <c r="J801" s="4">
        <f>RANK(F801,$F$4:$F$1203,0)</f>
        <v/>
      </c>
      <c r="K801" s="4" t="inlineStr">
        <is>
          <t>完工</t>
        </is>
      </c>
    </row>
    <row r="802">
      <c r="A802" s="4" t="n">
        <v>799</v>
      </c>
      <c r="B802" s="5" t="inlineStr">
        <is>
          <t>PJ-2026-0799</t>
        </is>
      </c>
      <c r="C802" s="6" t="inlineStr">
        <is>
          <t>和平街公交枢纽建设工程（三期）</t>
        </is>
      </c>
      <c r="D802" s="4" t="inlineStr">
        <is>
          <t>林英</t>
        </is>
      </c>
      <c r="E802" s="7" t="n">
        <v>476</v>
      </c>
      <c r="F802" s="7" t="n">
        <v>414.12</v>
      </c>
      <c r="G802" s="7">
        <f>E802-F802</f>
        <v/>
      </c>
      <c r="H802" s="8">
        <f>IFERROR(F802/E802,0)</f>
        <v/>
      </c>
      <c r="I802" s="4">
        <f>IF(H802&gt;=1,"超预算",IF(H802&gt;=0.9,"预警","正常"))</f>
        <v/>
      </c>
      <c r="J802" s="4">
        <f>RANK(F802,$F$4:$F$1203,0)</f>
        <v/>
      </c>
      <c r="K802" s="4" t="inlineStr">
        <is>
          <t>在建</t>
        </is>
      </c>
    </row>
    <row r="803">
      <c r="A803" s="4" t="n">
        <v>800</v>
      </c>
      <c r="B803" s="5" t="inlineStr">
        <is>
          <t>PJ-2026-0800</t>
        </is>
      </c>
      <c r="C803" s="6" t="inlineStr">
        <is>
          <t>光明街公共停车场建设工程（四期）</t>
        </is>
      </c>
      <c r="D803" s="4" t="inlineStr">
        <is>
          <t>罗芳</t>
        </is>
      </c>
      <c r="E803" s="7" t="n">
        <v>613</v>
      </c>
      <c r="F803" s="7" t="n">
        <v>281.98</v>
      </c>
      <c r="G803" s="7">
        <f>E803-F803</f>
        <v/>
      </c>
      <c r="H803" s="8">
        <f>IFERROR(F803/E803,0)</f>
        <v/>
      </c>
      <c r="I803" s="4">
        <f>IF(H803&gt;=1,"超预算",IF(H803&gt;=0.9,"预警","正常"))</f>
        <v/>
      </c>
      <c r="J803" s="4">
        <f>RANK(F803,$F$4:$F$1203,0)</f>
        <v/>
      </c>
      <c r="K803" s="4" t="inlineStr">
        <is>
          <t>待启动</t>
        </is>
      </c>
    </row>
    <row r="804">
      <c r="A804" s="4" t="n">
        <v>801</v>
      </c>
      <c r="B804" s="5" t="inlineStr">
        <is>
          <t>PJ-2026-0801</t>
        </is>
      </c>
      <c r="C804" s="6" t="inlineStr">
        <is>
          <t>城东路道路改造工程</t>
        </is>
      </c>
      <c r="D804" s="4" t="inlineStr">
        <is>
          <t>张军</t>
        </is>
      </c>
      <c r="E804" s="7" t="n">
        <v>750</v>
      </c>
      <c r="F804" s="7" t="n">
        <v>562.5</v>
      </c>
      <c r="G804" s="7">
        <f>E804-F804</f>
        <v/>
      </c>
      <c r="H804" s="8">
        <f>IFERROR(F804/E804,0)</f>
        <v/>
      </c>
      <c r="I804" s="4">
        <f>IF(H804&gt;=1,"超预算",IF(H804&gt;=0.9,"预警","正常"))</f>
        <v/>
      </c>
      <c r="J804" s="4">
        <f>RANK(F804,$F$4:$F$1203,0)</f>
        <v/>
      </c>
      <c r="K804" s="4" t="inlineStr">
        <is>
          <t>完工</t>
        </is>
      </c>
    </row>
    <row r="805">
      <c r="A805" s="4" t="n">
        <v>802</v>
      </c>
      <c r="B805" s="5" t="inlineStr">
        <is>
          <t>PJ-2026-0802</t>
        </is>
      </c>
      <c r="C805" s="6" t="inlineStr">
        <is>
          <t>解放路老旧小区改造项目（二期）</t>
        </is>
      </c>
      <c r="D805" s="4" t="inlineStr">
        <is>
          <t>王明</t>
        </is>
      </c>
      <c r="E805" s="7" t="n">
        <v>887</v>
      </c>
      <c r="F805" s="7" t="n">
        <v>922.48</v>
      </c>
      <c r="G805" s="7">
        <f>E805-F805</f>
        <v/>
      </c>
      <c r="H805" s="8">
        <f>IFERROR(F805/E805,0)</f>
        <v/>
      </c>
      <c r="I805" s="4">
        <f>IF(H805&gt;=1,"超预算",IF(H805&gt;=0.9,"预警","正常"))</f>
        <v/>
      </c>
      <c r="J805" s="4">
        <f>RANK(F805,$F$4:$F$1203,0)</f>
        <v/>
      </c>
      <c r="K805" s="4" t="inlineStr">
        <is>
          <t>在建</t>
        </is>
      </c>
    </row>
    <row r="806">
      <c r="A806" s="4" t="n">
        <v>803</v>
      </c>
      <c r="B806" s="5" t="inlineStr">
        <is>
          <t>PJ-2026-0803</t>
        </is>
      </c>
      <c r="C806" s="6" t="inlineStr">
        <is>
          <t>和平街智慧园区建设项目（三期）</t>
        </is>
      </c>
      <c r="D806" s="4" t="inlineStr">
        <is>
          <t>李桂</t>
        </is>
      </c>
      <c r="E806" s="7" t="n">
        <v>1024</v>
      </c>
      <c r="F806" s="7" t="n">
        <v>645.12</v>
      </c>
      <c r="G806" s="7">
        <f>E806-F806</f>
        <v/>
      </c>
      <c r="H806" s="8">
        <f>IFERROR(F806/E806,0)</f>
        <v/>
      </c>
      <c r="I806" s="4">
        <f>IF(H806&gt;=1,"超预算",IF(H806&gt;=0.9,"预警","正常"))</f>
        <v/>
      </c>
      <c r="J806" s="4">
        <f>RANK(F806,$F$4:$F$1203,0)</f>
        <v/>
      </c>
      <c r="K806" s="4" t="inlineStr">
        <is>
          <t>待启动</t>
        </is>
      </c>
    </row>
    <row r="807">
      <c r="A807" s="4" t="n">
        <v>804</v>
      </c>
      <c r="B807" s="5" t="inlineStr">
        <is>
          <t>PJ-2026-0804</t>
        </is>
      </c>
      <c r="C807" s="6" t="inlineStr">
        <is>
          <t>光明街污水处理扩容工程（四期）</t>
        </is>
      </c>
      <c r="D807" s="4" t="inlineStr">
        <is>
          <t>赵丽</t>
        </is>
      </c>
      <c r="E807" s="7" t="n">
        <v>1161</v>
      </c>
      <c r="F807" s="7" t="n">
        <v>1068.12</v>
      </c>
      <c r="G807" s="7">
        <f>E807-F807</f>
        <v/>
      </c>
      <c r="H807" s="8">
        <f>IFERROR(F807/E807,0)</f>
        <v/>
      </c>
      <c r="I807" s="4">
        <f>IF(H807&gt;=1,"超预算",IF(H807&gt;=0.9,"预警","正常"))</f>
        <v/>
      </c>
      <c r="J807" s="4">
        <f>RANK(F807,$F$4:$F$1203,0)</f>
        <v/>
      </c>
      <c r="K807" s="4" t="inlineStr">
        <is>
          <t>完工</t>
        </is>
      </c>
    </row>
    <row r="808">
      <c r="A808" s="4" t="n">
        <v>805</v>
      </c>
      <c r="B808" s="5" t="inlineStr">
        <is>
          <t>PJ-2026-0805</t>
        </is>
      </c>
      <c r="C808" s="6" t="inlineStr">
        <is>
          <t>城东路供水管网更新工程</t>
        </is>
      </c>
      <c r="D808" s="4" t="inlineStr">
        <is>
          <t>刘杰</t>
        </is>
      </c>
      <c r="E808" s="7" t="n">
        <v>1298</v>
      </c>
      <c r="F808" s="7" t="n">
        <v>661.98</v>
      </c>
      <c r="G808" s="7">
        <f>E808-F808</f>
        <v/>
      </c>
      <c r="H808" s="8">
        <f>IFERROR(F808/E808,0)</f>
        <v/>
      </c>
      <c r="I808" s="4">
        <f>IF(H808&gt;=1,"超预算",IF(H808&gt;=0.9,"预警","正常"))</f>
        <v/>
      </c>
      <c r="J808" s="4">
        <f>RANK(F808,$F$4:$F$1203,0)</f>
        <v/>
      </c>
      <c r="K808" s="4" t="inlineStr">
        <is>
          <t>在建</t>
        </is>
      </c>
    </row>
    <row r="809">
      <c r="A809" s="4" t="n">
        <v>806</v>
      </c>
      <c r="B809" s="5" t="inlineStr">
        <is>
          <t>PJ-2026-0806</t>
        </is>
      </c>
      <c r="C809" s="6" t="inlineStr">
        <is>
          <t>解放路河道综合整治工程（二期）</t>
        </is>
      </c>
      <c r="D809" s="4" t="inlineStr">
        <is>
          <t>陈霞</t>
        </is>
      </c>
      <c r="E809" s="7" t="n">
        <v>1435</v>
      </c>
      <c r="F809" s="7" t="n">
        <v>1148</v>
      </c>
      <c r="G809" s="7">
        <f>E809-F809</f>
        <v/>
      </c>
      <c r="H809" s="8">
        <f>IFERROR(F809/E809,0)</f>
        <v/>
      </c>
      <c r="I809" s="4">
        <f>IF(H809&gt;=1,"超预算",IF(H809&gt;=0.9,"预警","正常"))</f>
        <v/>
      </c>
      <c r="J809" s="4">
        <f>RANK(F809,$F$4:$F$1203,0)</f>
        <v/>
      </c>
      <c r="K809" s="4" t="inlineStr">
        <is>
          <t>待启动</t>
        </is>
      </c>
    </row>
    <row r="810">
      <c r="A810" s="4" t="n">
        <v>807</v>
      </c>
      <c r="B810" s="5" t="inlineStr">
        <is>
          <t>PJ-2026-0807</t>
        </is>
      </c>
      <c r="C810" s="6" t="inlineStr">
        <is>
          <t>和平街学校新建工程（三期）</t>
        </is>
      </c>
      <c r="D810" s="4" t="inlineStr">
        <is>
          <t>杨娜</t>
        </is>
      </c>
      <c r="E810" s="7" t="n">
        <v>1572</v>
      </c>
      <c r="F810" s="7" t="n">
        <v>1713.48</v>
      </c>
      <c r="G810" s="7">
        <f>E810-F810</f>
        <v/>
      </c>
      <c r="H810" s="8">
        <f>IFERROR(F810/E810,0)</f>
        <v/>
      </c>
      <c r="I810" s="4">
        <f>IF(H810&gt;=1,"超预算",IF(H810&gt;=0.9,"预警","正常"))</f>
        <v/>
      </c>
      <c r="J810" s="4">
        <f>RANK(F810,$F$4:$F$1203,0)</f>
        <v/>
      </c>
      <c r="K810" s="4" t="inlineStr">
        <is>
          <t>完工</t>
        </is>
      </c>
    </row>
    <row r="811">
      <c r="A811" s="4" t="n">
        <v>808</v>
      </c>
      <c r="B811" s="5" t="inlineStr">
        <is>
          <t>PJ-2026-0808</t>
        </is>
      </c>
      <c r="C811" s="6" t="inlineStr">
        <is>
          <t>光明街医院改扩建项目（四期）</t>
        </is>
      </c>
      <c r="D811" s="4" t="inlineStr">
        <is>
          <t>黄洋</t>
        </is>
      </c>
      <c r="E811" s="7" t="n">
        <v>1709</v>
      </c>
      <c r="F811" s="7" t="n">
        <v>1162.12</v>
      </c>
      <c r="G811" s="7">
        <f>E811-F811</f>
        <v/>
      </c>
      <c r="H811" s="8">
        <f>IFERROR(F811/E811,0)</f>
        <v/>
      </c>
      <c r="I811" s="4">
        <f>IF(H811&gt;=1,"超预算",IF(H811&gt;=0.9,"预警","正常"))</f>
        <v/>
      </c>
      <c r="J811" s="4">
        <f>RANK(F811,$F$4:$F$1203,0)</f>
        <v/>
      </c>
      <c r="K811" s="4" t="inlineStr">
        <is>
          <t>在建</t>
        </is>
      </c>
    </row>
    <row r="812">
      <c r="A812" s="4" t="n">
        <v>809</v>
      </c>
      <c r="B812" s="5" t="inlineStr">
        <is>
          <t>PJ-2026-0809</t>
        </is>
      </c>
      <c r="C812" s="6" t="inlineStr">
        <is>
          <t>城东路公交枢纽建设工程</t>
        </is>
      </c>
      <c r="D812" s="4" t="inlineStr">
        <is>
          <t>周超</t>
        </is>
      </c>
      <c r="E812" s="7" t="n">
        <v>1846</v>
      </c>
      <c r="F812" s="7" t="n">
        <v>1790.62</v>
      </c>
      <c r="G812" s="7">
        <f>E812-F812</f>
        <v/>
      </c>
      <c r="H812" s="8">
        <f>IFERROR(F812/E812,0)</f>
        <v/>
      </c>
      <c r="I812" s="4">
        <f>IF(H812&gt;=1,"超预算",IF(H812&gt;=0.9,"预警","正常"))</f>
        <v/>
      </c>
      <c r="J812" s="4">
        <f>RANK(F812,$F$4:$F$1203,0)</f>
        <v/>
      </c>
      <c r="K812" s="4" t="inlineStr">
        <is>
          <t>待启动</t>
        </is>
      </c>
    </row>
    <row r="813">
      <c r="A813" s="4" t="n">
        <v>810</v>
      </c>
      <c r="B813" s="5" t="inlineStr">
        <is>
          <t>PJ-2026-0810</t>
        </is>
      </c>
      <c r="C813" s="6" t="inlineStr">
        <is>
          <t>解放路公共停车场建设工程（二期）</t>
        </is>
      </c>
      <c r="D813" s="4" t="inlineStr">
        <is>
          <t>吴英</t>
        </is>
      </c>
      <c r="E813" s="7" t="n">
        <v>1983</v>
      </c>
      <c r="F813" s="7" t="n">
        <v>1110.48</v>
      </c>
      <c r="G813" s="7">
        <f>E813-F813</f>
        <v/>
      </c>
      <c r="H813" s="8">
        <f>IFERROR(F813/E813,0)</f>
        <v/>
      </c>
      <c r="I813" s="4">
        <f>IF(H813&gt;=1,"超预算",IF(H813&gt;=0.9,"预警","正常"))</f>
        <v/>
      </c>
      <c r="J813" s="4">
        <f>RANK(F813,$F$4:$F$1203,0)</f>
        <v/>
      </c>
      <c r="K813" s="4" t="inlineStr">
        <is>
          <t>完工</t>
        </is>
      </c>
    </row>
    <row r="814">
      <c r="A814" s="4" t="n">
        <v>811</v>
      </c>
      <c r="B814" s="5" t="inlineStr">
        <is>
          <t>PJ-2026-0811</t>
        </is>
      </c>
      <c r="C814" s="6" t="inlineStr">
        <is>
          <t>和平街道路改造工程（三期）</t>
        </is>
      </c>
      <c r="D814" s="4" t="inlineStr">
        <is>
          <t>徐强</t>
        </is>
      </c>
      <c r="E814" s="7" t="n">
        <v>2120</v>
      </c>
      <c r="F814" s="7" t="n">
        <v>1802</v>
      </c>
      <c r="G814" s="7">
        <f>E814-F814</f>
        <v/>
      </c>
      <c r="H814" s="8">
        <f>IFERROR(F814/E814,0)</f>
        <v/>
      </c>
      <c r="I814" s="4">
        <f>IF(H814&gt;=1,"超预算",IF(H814&gt;=0.9,"预警","正常"))</f>
        <v/>
      </c>
      <c r="J814" s="4">
        <f>RANK(F814,$F$4:$F$1203,0)</f>
        <v/>
      </c>
      <c r="K814" s="4" t="inlineStr">
        <is>
          <t>在建</t>
        </is>
      </c>
    </row>
    <row r="815">
      <c r="A815" s="4" t="n">
        <v>812</v>
      </c>
      <c r="B815" s="5" t="inlineStr">
        <is>
          <t>PJ-2026-0812</t>
        </is>
      </c>
      <c r="C815" s="6" t="inlineStr">
        <is>
          <t>光明街老旧小区改造项目（四期）</t>
        </is>
      </c>
      <c r="D815" s="4" t="inlineStr">
        <is>
          <t>孙娟</t>
        </is>
      </c>
      <c r="E815" s="7" t="n">
        <v>2257</v>
      </c>
      <c r="F815" s="7" t="n">
        <v>2572.98</v>
      </c>
      <c r="G815" s="7">
        <f>E815-F815</f>
        <v/>
      </c>
      <c r="H815" s="8">
        <f>IFERROR(F815/E815,0)</f>
        <v/>
      </c>
      <c r="I815" s="4">
        <f>IF(H815&gt;=1,"超预算",IF(H815&gt;=0.9,"预警","正常"))</f>
        <v/>
      </c>
      <c r="J815" s="4">
        <f>RANK(F815,$F$4:$F$1203,0)</f>
        <v/>
      </c>
      <c r="K815" s="4" t="inlineStr">
        <is>
          <t>待启动</t>
        </is>
      </c>
    </row>
    <row r="816">
      <c r="A816" s="4" t="n">
        <v>813</v>
      </c>
      <c r="B816" s="5" t="inlineStr">
        <is>
          <t>PJ-2026-0813</t>
        </is>
      </c>
      <c r="C816" s="6" t="inlineStr">
        <is>
          <t>城东路智慧园区建设项目</t>
        </is>
      </c>
      <c r="D816" s="4" t="inlineStr">
        <is>
          <t>马平</t>
        </is>
      </c>
      <c r="E816" s="7" t="n">
        <v>2394</v>
      </c>
      <c r="F816" s="7" t="n">
        <v>1747.62</v>
      </c>
      <c r="G816" s="7">
        <f>E816-F816</f>
        <v/>
      </c>
      <c r="H816" s="8">
        <f>IFERROR(F816/E816,0)</f>
        <v/>
      </c>
      <c r="I816" s="4">
        <f>IF(H816&gt;=1,"超预算",IF(H816&gt;=0.9,"预警","正常"))</f>
        <v/>
      </c>
      <c r="J816" s="4">
        <f>RANK(F816,$F$4:$F$1203,0)</f>
        <v/>
      </c>
      <c r="K816" s="4" t="inlineStr">
        <is>
          <t>完工</t>
        </is>
      </c>
    </row>
    <row r="817">
      <c r="A817" s="4" t="n">
        <v>814</v>
      </c>
      <c r="B817" s="5" t="inlineStr">
        <is>
          <t>PJ-2026-0814</t>
        </is>
      </c>
      <c r="C817" s="6" t="inlineStr">
        <is>
          <t>解放路污水处理扩容工程（二期）</t>
        </is>
      </c>
      <c r="D817" s="4" t="inlineStr">
        <is>
          <t>朱敏</t>
        </is>
      </c>
      <c r="E817" s="7" t="n">
        <v>2531</v>
      </c>
      <c r="F817" s="7" t="n">
        <v>2581.62</v>
      </c>
      <c r="G817" s="7">
        <f>E817-F817</f>
        <v/>
      </c>
      <c r="H817" s="8">
        <f>IFERROR(F817/E817,0)</f>
        <v/>
      </c>
      <c r="I817" s="4">
        <f>IF(H817&gt;=1,"超预算",IF(H817&gt;=0.9,"预警","正常"))</f>
        <v/>
      </c>
      <c r="J817" s="4">
        <f>RANK(F817,$F$4:$F$1203,0)</f>
        <v/>
      </c>
      <c r="K817" s="4" t="inlineStr">
        <is>
          <t>在建</t>
        </is>
      </c>
    </row>
    <row r="818">
      <c r="A818" s="4" t="n">
        <v>815</v>
      </c>
      <c r="B818" s="5" t="inlineStr">
        <is>
          <t>PJ-2026-0815</t>
        </is>
      </c>
      <c r="C818" s="6" t="inlineStr">
        <is>
          <t>和平街供水管网更新工程（三期）</t>
        </is>
      </c>
      <c r="D818" s="4" t="inlineStr">
        <is>
          <t>胡勇</t>
        </is>
      </c>
      <c r="E818" s="7" t="n">
        <v>2668</v>
      </c>
      <c r="F818" s="7" t="n">
        <v>1627.48</v>
      </c>
      <c r="G818" s="7">
        <f>E818-F818</f>
        <v/>
      </c>
      <c r="H818" s="8">
        <f>IFERROR(F818/E818,0)</f>
        <v/>
      </c>
      <c r="I818" s="4">
        <f>IF(H818&gt;=1,"超预算",IF(H818&gt;=0.9,"预警","正常"))</f>
        <v/>
      </c>
      <c r="J818" s="4">
        <f>RANK(F818,$F$4:$F$1203,0)</f>
        <v/>
      </c>
      <c r="K818" s="4" t="inlineStr">
        <is>
          <t>待启动</t>
        </is>
      </c>
    </row>
    <row r="819">
      <c r="A819" s="4" t="n">
        <v>816</v>
      </c>
      <c r="B819" s="5" t="inlineStr">
        <is>
          <t>PJ-2026-0816</t>
        </is>
      </c>
      <c r="C819" s="6" t="inlineStr">
        <is>
          <t>光明街河道综合整治工程（四期）</t>
        </is>
      </c>
      <c r="D819" s="4" t="inlineStr">
        <is>
          <t>郭秀</t>
        </is>
      </c>
      <c r="E819" s="7" t="n">
        <v>2805</v>
      </c>
      <c r="F819" s="7" t="n">
        <v>2524.5</v>
      </c>
      <c r="G819" s="7">
        <f>E819-F819</f>
        <v/>
      </c>
      <c r="H819" s="8">
        <f>IFERROR(F819/E819,0)</f>
        <v/>
      </c>
      <c r="I819" s="4">
        <f>IF(H819&gt;=1,"超预算",IF(H819&gt;=0.9,"预警","正常"))</f>
        <v/>
      </c>
      <c r="J819" s="4">
        <f>RANK(F819,$F$4:$F$1203,0)</f>
        <v/>
      </c>
      <c r="K819" s="4" t="inlineStr">
        <is>
          <t>完工</t>
        </is>
      </c>
    </row>
    <row r="820">
      <c r="A820" s="4" t="n">
        <v>817</v>
      </c>
      <c r="B820" s="5" t="inlineStr">
        <is>
          <t>PJ-2026-0817</t>
        </is>
      </c>
      <c r="C820" s="6" t="inlineStr">
        <is>
          <t>城东路学校新建工程</t>
        </is>
      </c>
      <c r="D820" s="4" t="inlineStr">
        <is>
          <t>何伟</t>
        </is>
      </c>
      <c r="E820" s="7" t="n">
        <v>2942</v>
      </c>
      <c r="F820" s="7" t="n">
        <v>1441.58</v>
      </c>
      <c r="G820" s="7">
        <f>E820-F820</f>
        <v/>
      </c>
      <c r="H820" s="8">
        <f>IFERROR(F820/E820,0)</f>
        <v/>
      </c>
      <c r="I820" s="4">
        <f>IF(H820&gt;=1,"超预算",IF(H820&gt;=0.9,"预警","正常"))</f>
        <v/>
      </c>
      <c r="J820" s="4">
        <f>RANK(F820,$F$4:$F$1203,0)</f>
        <v/>
      </c>
      <c r="K820" s="4" t="inlineStr">
        <is>
          <t>在建</t>
        </is>
      </c>
    </row>
    <row r="821">
      <c r="A821" s="4" t="n">
        <v>818</v>
      </c>
      <c r="B821" s="5" t="inlineStr">
        <is>
          <t>PJ-2026-0818</t>
        </is>
      </c>
      <c r="C821" s="6" t="inlineStr">
        <is>
          <t>解放路医院改扩建项目（二期）</t>
        </is>
      </c>
      <c r="D821" s="4" t="inlineStr">
        <is>
          <t>高磊</t>
        </is>
      </c>
      <c r="E821" s="7" t="n">
        <v>3079</v>
      </c>
      <c r="F821" s="7" t="n">
        <v>2401.62</v>
      </c>
      <c r="G821" s="7">
        <f>E821-F821</f>
        <v/>
      </c>
      <c r="H821" s="8">
        <f>IFERROR(F821/E821,0)</f>
        <v/>
      </c>
      <c r="I821" s="4">
        <f>IF(H821&gt;=1,"超预算",IF(H821&gt;=0.9,"预警","正常"))</f>
        <v/>
      </c>
      <c r="J821" s="4">
        <f>RANK(F821,$F$4:$F$1203,0)</f>
        <v/>
      </c>
      <c r="K821" s="4" t="inlineStr">
        <is>
          <t>待启动</t>
        </is>
      </c>
    </row>
    <row r="822">
      <c r="A822" s="4" t="n">
        <v>819</v>
      </c>
      <c r="B822" s="5" t="inlineStr">
        <is>
          <t>PJ-2026-0819</t>
        </is>
      </c>
      <c r="C822" s="6" t="inlineStr">
        <is>
          <t>和平街公交枢纽建设工程（三期）</t>
        </is>
      </c>
      <c r="D822" s="4" t="inlineStr">
        <is>
          <t>林涛</t>
        </is>
      </c>
      <c r="E822" s="7" t="n">
        <v>3216</v>
      </c>
      <c r="F822" s="7" t="n">
        <v>3441.12</v>
      </c>
      <c r="G822" s="7">
        <f>E822-F822</f>
        <v/>
      </c>
      <c r="H822" s="8">
        <f>IFERROR(F822/E822,0)</f>
        <v/>
      </c>
      <c r="I822" s="4">
        <f>IF(H822&gt;=1,"超预算",IF(H822&gt;=0.9,"预警","正常"))</f>
        <v/>
      </c>
      <c r="J822" s="4">
        <f>RANK(F822,$F$4:$F$1203,0)</f>
        <v/>
      </c>
      <c r="K822" s="4" t="inlineStr">
        <is>
          <t>完工</t>
        </is>
      </c>
    </row>
    <row r="823">
      <c r="A823" s="4" t="n">
        <v>820</v>
      </c>
      <c r="B823" s="5" t="inlineStr">
        <is>
          <t>PJ-2026-0820</t>
        </is>
      </c>
      <c r="C823" s="6" t="inlineStr">
        <is>
          <t>光明街公共停车场建设工程（四期）</t>
        </is>
      </c>
      <c r="D823" s="4" t="inlineStr">
        <is>
          <t>罗刚</t>
        </is>
      </c>
      <c r="E823" s="7" t="n">
        <v>3353</v>
      </c>
      <c r="F823" s="7" t="n">
        <v>2212.98</v>
      </c>
      <c r="G823" s="7">
        <f>E823-F823</f>
        <v/>
      </c>
      <c r="H823" s="8">
        <f>IFERROR(F823/E823,0)</f>
        <v/>
      </c>
      <c r="I823" s="4">
        <f>IF(H823&gt;=1,"超预算",IF(H823&gt;=0.9,"预警","正常"))</f>
        <v/>
      </c>
      <c r="J823" s="4">
        <f>RANK(F823,$F$4:$F$1203,0)</f>
        <v/>
      </c>
      <c r="K823" s="4" t="inlineStr">
        <is>
          <t>在建</t>
        </is>
      </c>
    </row>
    <row r="824">
      <c r="A824" s="4" t="n">
        <v>821</v>
      </c>
      <c r="B824" s="5" t="inlineStr">
        <is>
          <t>PJ-2026-0821</t>
        </is>
      </c>
      <c r="C824" s="6" t="inlineStr">
        <is>
          <t>城东路道路改造工程</t>
        </is>
      </c>
      <c r="D824" s="4" t="inlineStr">
        <is>
          <t>张静</t>
        </is>
      </c>
      <c r="E824" s="7" t="n">
        <v>3490</v>
      </c>
      <c r="F824" s="7" t="n">
        <v>3315.5</v>
      </c>
      <c r="G824" s="7">
        <f>E824-F824</f>
        <v/>
      </c>
      <c r="H824" s="8">
        <f>IFERROR(F824/E824,0)</f>
        <v/>
      </c>
      <c r="I824" s="4">
        <f>IF(H824&gt;=1,"超预算",IF(H824&gt;=0.9,"预警","正常"))</f>
        <v/>
      </c>
      <c r="J824" s="4">
        <f>RANK(F824,$F$4:$F$1203,0)</f>
        <v/>
      </c>
      <c r="K824" s="4" t="inlineStr">
        <is>
          <t>待启动</t>
        </is>
      </c>
    </row>
    <row r="825">
      <c r="A825" s="4" t="n">
        <v>822</v>
      </c>
      <c r="B825" s="5" t="inlineStr">
        <is>
          <t>PJ-2026-0822</t>
        </is>
      </c>
      <c r="C825" s="6" t="inlineStr">
        <is>
          <t>解放路老旧小区改造项目（二期）</t>
        </is>
      </c>
      <c r="D825" s="4" t="inlineStr">
        <is>
          <t>王艳</t>
        </is>
      </c>
      <c r="E825" s="7" t="n">
        <v>3627</v>
      </c>
      <c r="F825" s="7" t="n">
        <v>1958.58</v>
      </c>
      <c r="G825" s="7">
        <f>E825-F825</f>
        <v/>
      </c>
      <c r="H825" s="8">
        <f>IFERROR(F825/E825,0)</f>
        <v/>
      </c>
      <c r="I825" s="4">
        <f>IF(H825&gt;=1,"超预算",IF(H825&gt;=0.9,"预警","正常"))</f>
        <v/>
      </c>
      <c r="J825" s="4">
        <f>RANK(F825,$F$4:$F$1203,0)</f>
        <v/>
      </c>
      <c r="K825" s="4" t="inlineStr">
        <is>
          <t>完工</t>
        </is>
      </c>
    </row>
    <row r="826">
      <c r="A826" s="4" t="n">
        <v>823</v>
      </c>
      <c r="B826" s="5" t="inlineStr">
        <is>
          <t>PJ-2026-0823</t>
        </is>
      </c>
      <c r="C826" s="6" t="inlineStr">
        <is>
          <t>和平街智慧园区建设项目（三期）</t>
        </is>
      </c>
      <c r="D826" s="4" t="inlineStr">
        <is>
          <t>李英</t>
        </is>
      </c>
      <c r="E826" s="7" t="n">
        <v>3764</v>
      </c>
      <c r="F826" s="7" t="n">
        <v>3124.12</v>
      </c>
      <c r="G826" s="7">
        <f>E826-F826</f>
        <v/>
      </c>
      <c r="H826" s="8">
        <f>IFERROR(F826/E826,0)</f>
        <v/>
      </c>
      <c r="I826" s="4">
        <f>IF(H826&gt;=1,"超预算",IF(H826&gt;=0.9,"预警","正常"))</f>
        <v/>
      </c>
      <c r="J826" s="4">
        <f>RANK(F826,$F$4:$F$1203,0)</f>
        <v/>
      </c>
      <c r="K826" s="4" t="inlineStr">
        <is>
          <t>在建</t>
        </is>
      </c>
    </row>
    <row r="827">
      <c r="A827" s="4" t="n">
        <v>824</v>
      </c>
      <c r="B827" s="5" t="inlineStr">
        <is>
          <t>PJ-2026-0824</t>
        </is>
      </c>
      <c r="C827" s="6" t="inlineStr">
        <is>
          <t>光明街污水处理扩容工程（四期）</t>
        </is>
      </c>
      <c r="D827" s="4" t="inlineStr">
        <is>
          <t>赵芳</t>
        </is>
      </c>
      <c r="E827" s="7" t="n">
        <v>3901</v>
      </c>
      <c r="F827" s="7" t="n">
        <v>4369.12</v>
      </c>
      <c r="G827" s="7">
        <f>E827-F827</f>
        <v/>
      </c>
      <c r="H827" s="8">
        <f>IFERROR(F827/E827,0)</f>
        <v/>
      </c>
      <c r="I827" s="4">
        <f>IF(H827&gt;=1,"超预算",IF(H827&gt;=0.9,"预警","正常"))</f>
        <v/>
      </c>
      <c r="J827" s="4">
        <f>RANK(F827,$F$4:$F$1203,0)</f>
        <v/>
      </c>
      <c r="K827" s="4" t="inlineStr">
        <is>
          <t>待启动</t>
        </is>
      </c>
    </row>
    <row r="828">
      <c r="A828" s="4" t="n">
        <v>825</v>
      </c>
      <c r="B828" s="5" t="inlineStr">
        <is>
          <t>PJ-2026-0825</t>
        </is>
      </c>
      <c r="C828" s="6" t="inlineStr">
        <is>
          <t>城东路供水管网更新工程</t>
        </is>
      </c>
      <c r="D828" s="4" t="inlineStr">
        <is>
          <t>刘军</t>
        </is>
      </c>
      <c r="E828" s="7" t="n">
        <v>4038</v>
      </c>
      <c r="F828" s="7" t="n">
        <v>2866.98</v>
      </c>
      <c r="G828" s="7">
        <f>E828-F828</f>
        <v/>
      </c>
      <c r="H828" s="8">
        <f>IFERROR(F828/E828,0)</f>
        <v/>
      </c>
      <c r="I828" s="4">
        <f>IF(H828&gt;=1,"超预算",IF(H828&gt;=0.9,"预警","正常"))</f>
        <v/>
      </c>
      <c r="J828" s="4">
        <f>RANK(F828,$F$4:$F$1203,0)</f>
        <v/>
      </c>
      <c r="K828" s="4" t="inlineStr">
        <is>
          <t>完工</t>
        </is>
      </c>
    </row>
    <row r="829">
      <c r="A829" s="4" t="n">
        <v>826</v>
      </c>
      <c r="B829" s="5" t="inlineStr">
        <is>
          <t>PJ-2026-0826</t>
        </is>
      </c>
      <c r="C829" s="6" t="inlineStr">
        <is>
          <t>解放路河道综合整治工程（二期）</t>
        </is>
      </c>
      <c r="D829" s="4" t="inlineStr">
        <is>
          <t>陈明</t>
        </is>
      </c>
      <c r="E829" s="7" t="n">
        <v>4175</v>
      </c>
      <c r="F829" s="7" t="n">
        <v>4175</v>
      </c>
      <c r="G829" s="7">
        <f>E829-F829</f>
        <v/>
      </c>
      <c r="H829" s="8">
        <f>IFERROR(F829/E829,0)</f>
        <v/>
      </c>
      <c r="I829" s="4">
        <f>IF(H829&gt;=1,"超预算",IF(H829&gt;=0.9,"预警","正常"))</f>
        <v/>
      </c>
      <c r="J829" s="4">
        <f>RANK(F829,$F$4:$F$1203,0)</f>
        <v/>
      </c>
      <c r="K829" s="4" t="inlineStr">
        <is>
          <t>在建</t>
        </is>
      </c>
    </row>
    <row r="830">
      <c r="A830" s="4" t="n">
        <v>827</v>
      </c>
      <c r="B830" s="5" t="inlineStr">
        <is>
          <t>PJ-2026-0827</t>
        </is>
      </c>
      <c r="C830" s="6" t="inlineStr">
        <is>
          <t>和平街学校新建工程（三期）</t>
        </is>
      </c>
      <c r="D830" s="4" t="inlineStr">
        <is>
          <t>杨桂</t>
        </is>
      </c>
      <c r="E830" s="7" t="n">
        <v>4312</v>
      </c>
      <c r="F830" s="7" t="n">
        <v>2544.08</v>
      </c>
      <c r="G830" s="7">
        <f>E830-F830</f>
        <v/>
      </c>
      <c r="H830" s="8">
        <f>IFERROR(F830/E830,0)</f>
        <v/>
      </c>
      <c r="I830" s="4">
        <f>IF(H830&gt;=1,"超预算",IF(H830&gt;=0.9,"预警","正常"))</f>
        <v/>
      </c>
      <c r="J830" s="4">
        <f>RANK(F830,$F$4:$F$1203,0)</f>
        <v/>
      </c>
      <c r="K830" s="4" t="inlineStr">
        <is>
          <t>待启动</t>
        </is>
      </c>
    </row>
    <row r="831">
      <c r="A831" s="4" t="n">
        <v>828</v>
      </c>
      <c r="B831" s="5" t="inlineStr">
        <is>
          <t>PJ-2026-0828</t>
        </is>
      </c>
      <c r="C831" s="6" t="inlineStr">
        <is>
          <t>光明街医院改扩建项目（四期）</t>
        </is>
      </c>
      <c r="D831" s="4" t="inlineStr">
        <is>
          <t>黄丽</t>
        </is>
      </c>
      <c r="E831" s="7" t="n">
        <v>4449</v>
      </c>
      <c r="F831" s="7" t="n">
        <v>3915.12</v>
      </c>
      <c r="G831" s="7">
        <f>E831-F831</f>
        <v/>
      </c>
      <c r="H831" s="8">
        <f>IFERROR(F831/E831,0)</f>
        <v/>
      </c>
      <c r="I831" s="4">
        <f>IF(H831&gt;=1,"超预算",IF(H831&gt;=0.9,"预警","正常"))</f>
        <v/>
      </c>
      <c r="J831" s="4">
        <f>RANK(F831,$F$4:$F$1203,0)</f>
        <v/>
      </c>
      <c r="K831" s="4" t="inlineStr">
        <is>
          <t>完工</t>
        </is>
      </c>
    </row>
    <row r="832">
      <c r="A832" s="4" t="n">
        <v>829</v>
      </c>
      <c r="B832" s="5" t="inlineStr">
        <is>
          <t>PJ-2026-0829</t>
        </is>
      </c>
      <c r="C832" s="6" t="inlineStr">
        <is>
          <t>城东路公交枢纽建设工程</t>
        </is>
      </c>
      <c r="D832" s="4" t="inlineStr">
        <is>
          <t>周杰</t>
        </is>
      </c>
      <c r="E832" s="7" t="n">
        <v>4586</v>
      </c>
      <c r="F832" s="7" t="n">
        <v>2155.42</v>
      </c>
      <c r="G832" s="7">
        <f>E832-F832</f>
        <v/>
      </c>
      <c r="H832" s="8">
        <f>IFERROR(F832/E832,0)</f>
        <v/>
      </c>
      <c r="I832" s="4">
        <f>IF(H832&gt;=1,"超预算",IF(H832&gt;=0.9,"预警","正常"))</f>
        <v/>
      </c>
      <c r="J832" s="4">
        <f>RANK(F832,$F$4:$F$1203,0)</f>
        <v/>
      </c>
      <c r="K832" s="4" t="inlineStr">
        <is>
          <t>在建</t>
        </is>
      </c>
    </row>
    <row r="833">
      <c r="A833" s="4" t="n">
        <v>830</v>
      </c>
      <c r="B833" s="5" t="inlineStr">
        <is>
          <t>PJ-2026-0830</t>
        </is>
      </c>
      <c r="C833" s="6" t="inlineStr">
        <is>
          <t>解放路公共停车场建设工程（二期）</t>
        </is>
      </c>
      <c r="D833" s="4" t="inlineStr">
        <is>
          <t>吴霞</t>
        </is>
      </c>
      <c r="E833" s="7" t="n">
        <v>4723</v>
      </c>
      <c r="F833" s="7" t="n">
        <v>3589.48</v>
      </c>
      <c r="G833" s="7">
        <f>E833-F833</f>
        <v/>
      </c>
      <c r="H833" s="8">
        <f>IFERROR(F833/E833,0)</f>
        <v/>
      </c>
      <c r="I833" s="4">
        <f>IF(H833&gt;=1,"超预算",IF(H833&gt;=0.9,"预警","正常"))</f>
        <v/>
      </c>
      <c r="J833" s="4">
        <f>RANK(F833,$F$4:$F$1203,0)</f>
        <v/>
      </c>
      <c r="K833" s="4" t="inlineStr">
        <is>
          <t>待启动</t>
        </is>
      </c>
    </row>
    <row r="834">
      <c r="A834" s="4" t="n">
        <v>831</v>
      </c>
      <c r="B834" s="5" t="inlineStr">
        <is>
          <t>PJ-2026-0831</t>
        </is>
      </c>
      <c r="C834" s="6" t="inlineStr">
        <is>
          <t>和平街道路改造工程（三期）</t>
        </is>
      </c>
      <c r="D834" s="4" t="inlineStr">
        <is>
          <t>徐娜</t>
        </is>
      </c>
      <c r="E834" s="7" t="n">
        <v>4860</v>
      </c>
      <c r="F834" s="7" t="n">
        <v>5103</v>
      </c>
      <c r="G834" s="7">
        <f>E834-F834</f>
        <v/>
      </c>
      <c r="H834" s="8">
        <f>IFERROR(F834/E834,0)</f>
        <v/>
      </c>
      <c r="I834" s="4">
        <f>IF(H834&gt;=1,"超预算",IF(H834&gt;=0.9,"预警","正常"))</f>
        <v/>
      </c>
      <c r="J834" s="4">
        <f>RANK(F834,$F$4:$F$1203,0)</f>
        <v/>
      </c>
      <c r="K834" s="4" t="inlineStr">
        <is>
          <t>完工</t>
        </is>
      </c>
    </row>
    <row r="835">
      <c r="A835" s="4" t="n">
        <v>832</v>
      </c>
      <c r="B835" s="5" t="inlineStr">
        <is>
          <t>PJ-2026-0832</t>
        </is>
      </c>
      <c r="C835" s="6" t="inlineStr">
        <is>
          <t>光明街老旧小区改造项目（四期）</t>
        </is>
      </c>
      <c r="D835" s="4" t="inlineStr">
        <is>
          <t>孙洋</t>
        </is>
      </c>
      <c r="E835" s="7" t="n">
        <v>4997</v>
      </c>
      <c r="F835" s="7" t="n">
        <v>3198.08</v>
      </c>
      <c r="G835" s="7">
        <f>E835-F835</f>
        <v/>
      </c>
      <c r="H835" s="8">
        <f>IFERROR(F835/E835,0)</f>
        <v/>
      </c>
      <c r="I835" s="4">
        <f>IF(H835&gt;=1,"超预算",IF(H835&gt;=0.9,"预警","正常"))</f>
        <v/>
      </c>
      <c r="J835" s="4">
        <f>RANK(F835,$F$4:$F$1203,0)</f>
        <v/>
      </c>
      <c r="K835" s="4" t="inlineStr">
        <is>
          <t>在建</t>
        </is>
      </c>
    </row>
    <row r="836">
      <c r="A836" s="4" t="n">
        <v>833</v>
      </c>
      <c r="B836" s="5" t="inlineStr">
        <is>
          <t>PJ-2026-0833</t>
        </is>
      </c>
      <c r="C836" s="6" t="inlineStr">
        <is>
          <t>城东路智慧园区建设项目</t>
        </is>
      </c>
      <c r="D836" s="4" t="inlineStr">
        <is>
          <t>马超</t>
        </is>
      </c>
      <c r="E836" s="7" t="n">
        <v>184</v>
      </c>
      <c r="F836" s="7" t="n">
        <v>171.12</v>
      </c>
      <c r="G836" s="7">
        <f>E836-F836</f>
        <v/>
      </c>
      <c r="H836" s="8">
        <f>IFERROR(F836/E836,0)</f>
        <v/>
      </c>
      <c r="I836" s="4">
        <f>IF(H836&gt;=1,"超预算",IF(H836&gt;=0.9,"预警","正常"))</f>
        <v/>
      </c>
      <c r="J836" s="4">
        <f>RANK(F836,$F$4:$F$1203,0)</f>
        <v/>
      </c>
      <c r="K836" s="4" t="inlineStr">
        <is>
          <t>待启动</t>
        </is>
      </c>
    </row>
    <row r="837">
      <c r="A837" s="4" t="n">
        <v>834</v>
      </c>
      <c r="B837" s="5" t="inlineStr">
        <is>
          <t>PJ-2026-0834</t>
        </is>
      </c>
      <c r="C837" s="6" t="inlineStr">
        <is>
          <t>解放路污水处理扩容工程（二期）</t>
        </is>
      </c>
      <c r="D837" s="4" t="inlineStr">
        <is>
          <t>朱英</t>
        </is>
      </c>
      <c r="E837" s="7" t="n">
        <v>321</v>
      </c>
      <c r="F837" s="7" t="n">
        <v>166.92</v>
      </c>
      <c r="G837" s="7">
        <f>E837-F837</f>
        <v/>
      </c>
      <c r="H837" s="8">
        <f>IFERROR(F837/E837,0)</f>
        <v/>
      </c>
      <c r="I837" s="4">
        <f>IF(H837&gt;=1,"超预算",IF(H837&gt;=0.9,"预警","正常"))</f>
        <v/>
      </c>
      <c r="J837" s="4">
        <f>RANK(F837,$F$4:$F$1203,0)</f>
        <v/>
      </c>
      <c r="K837" s="4" t="inlineStr">
        <is>
          <t>完工</t>
        </is>
      </c>
    </row>
    <row r="838">
      <c r="A838" s="4" t="n">
        <v>835</v>
      </c>
      <c r="B838" s="5" t="inlineStr">
        <is>
          <t>PJ-2026-0835</t>
        </is>
      </c>
      <c r="C838" s="6" t="inlineStr">
        <is>
          <t>和平街供水管网更新工程（三期）</t>
        </is>
      </c>
      <c r="D838" s="4" t="inlineStr">
        <is>
          <t>胡强</t>
        </is>
      </c>
      <c r="E838" s="7" t="n">
        <v>458</v>
      </c>
      <c r="F838" s="7" t="n">
        <v>370.98</v>
      </c>
      <c r="G838" s="7">
        <f>E838-F838</f>
        <v/>
      </c>
      <c r="H838" s="8">
        <f>IFERROR(F838/E838,0)</f>
        <v/>
      </c>
      <c r="I838" s="4">
        <f>IF(H838&gt;=1,"超预算",IF(H838&gt;=0.9,"预警","正常"))</f>
        <v/>
      </c>
      <c r="J838" s="4">
        <f>RANK(F838,$F$4:$F$1203,0)</f>
        <v/>
      </c>
      <c r="K838" s="4" t="inlineStr">
        <is>
          <t>在建</t>
        </is>
      </c>
    </row>
    <row r="839">
      <c r="A839" s="4" t="n">
        <v>836</v>
      </c>
      <c r="B839" s="5" t="inlineStr">
        <is>
          <t>PJ-2026-0836</t>
        </is>
      </c>
      <c r="C839" s="6" t="inlineStr">
        <is>
          <t>光明街河道综合整治工程（四期）</t>
        </is>
      </c>
      <c r="D839" s="4" t="inlineStr">
        <is>
          <t>郭娟</t>
        </is>
      </c>
      <c r="E839" s="7" t="n">
        <v>595</v>
      </c>
      <c r="F839" s="7" t="n">
        <v>654.5</v>
      </c>
      <c r="G839" s="7">
        <f>E839-F839</f>
        <v/>
      </c>
      <c r="H839" s="8">
        <f>IFERROR(F839/E839,0)</f>
        <v/>
      </c>
      <c r="I839" s="4">
        <f>IF(H839&gt;=1,"超预算",IF(H839&gt;=0.9,"预警","正常"))</f>
        <v/>
      </c>
      <c r="J839" s="4">
        <f>RANK(F839,$F$4:$F$1203,0)</f>
        <v/>
      </c>
      <c r="K839" s="4" t="inlineStr">
        <is>
          <t>待启动</t>
        </is>
      </c>
    </row>
    <row r="840">
      <c r="A840" s="4" t="n">
        <v>837</v>
      </c>
      <c r="B840" s="5" t="inlineStr">
        <is>
          <t>PJ-2026-0837</t>
        </is>
      </c>
      <c r="C840" s="6" t="inlineStr">
        <is>
          <t>城东路学校新建工程</t>
        </is>
      </c>
      <c r="D840" s="4" t="inlineStr">
        <is>
          <t>何平</t>
        </is>
      </c>
      <c r="E840" s="7" t="n">
        <v>732</v>
      </c>
      <c r="F840" s="7" t="n">
        <v>505.08</v>
      </c>
      <c r="G840" s="7">
        <f>E840-F840</f>
        <v/>
      </c>
      <c r="H840" s="8">
        <f>IFERROR(F840/E840,0)</f>
        <v/>
      </c>
      <c r="I840" s="4">
        <f>IF(H840&gt;=1,"超预算",IF(H840&gt;=0.9,"预警","正常"))</f>
        <v/>
      </c>
      <c r="J840" s="4">
        <f>RANK(F840,$F$4:$F$1203,0)</f>
        <v/>
      </c>
      <c r="K840" s="4" t="inlineStr">
        <is>
          <t>完工</t>
        </is>
      </c>
    </row>
    <row r="841">
      <c r="A841" s="4" t="n">
        <v>838</v>
      </c>
      <c r="B841" s="5" t="inlineStr">
        <is>
          <t>PJ-2026-0838</t>
        </is>
      </c>
      <c r="C841" s="6" t="inlineStr">
        <is>
          <t>解放路医院改扩建项目（二期）</t>
        </is>
      </c>
      <c r="D841" s="4" t="inlineStr">
        <is>
          <t>高敏</t>
        </is>
      </c>
      <c r="E841" s="7" t="n">
        <v>869</v>
      </c>
      <c r="F841" s="7" t="n">
        <v>851.62</v>
      </c>
      <c r="G841" s="7">
        <f>E841-F841</f>
        <v/>
      </c>
      <c r="H841" s="8">
        <f>IFERROR(F841/E841,0)</f>
        <v/>
      </c>
      <c r="I841" s="4">
        <f>IF(H841&gt;=1,"超预算",IF(H841&gt;=0.9,"预警","正常"))</f>
        <v/>
      </c>
      <c r="J841" s="4">
        <f>RANK(F841,$F$4:$F$1203,0)</f>
        <v/>
      </c>
      <c r="K841" s="4" t="inlineStr">
        <is>
          <t>在建</t>
        </is>
      </c>
    </row>
    <row r="842">
      <c r="A842" s="4" t="n">
        <v>839</v>
      </c>
      <c r="B842" s="5" t="inlineStr">
        <is>
          <t>PJ-2026-0839</t>
        </is>
      </c>
      <c r="C842" s="6" t="inlineStr">
        <is>
          <t>和平街公交枢纽建设工程（三期）</t>
        </is>
      </c>
      <c r="D842" s="4" t="inlineStr">
        <is>
          <t>林勇</t>
        </is>
      </c>
      <c r="E842" s="7" t="n">
        <v>1006</v>
      </c>
      <c r="F842" s="7" t="n">
        <v>573.42</v>
      </c>
      <c r="G842" s="7">
        <f>E842-F842</f>
        <v/>
      </c>
      <c r="H842" s="8">
        <f>IFERROR(F842/E842,0)</f>
        <v/>
      </c>
      <c r="I842" s="4">
        <f>IF(H842&gt;=1,"超预算",IF(H842&gt;=0.9,"预警","正常"))</f>
        <v/>
      </c>
      <c r="J842" s="4">
        <f>RANK(F842,$F$4:$F$1203,0)</f>
        <v/>
      </c>
      <c r="K842" s="4" t="inlineStr">
        <is>
          <t>待启动</t>
        </is>
      </c>
    </row>
    <row r="843">
      <c r="A843" s="4" t="n">
        <v>840</v>
      </c>
      <c r="B843" s="5" t="inlineStr">
        <is>
          <t>PJ-2026-0840</t>
        </is>
      </c>
      <c r="C843" s="6" t="inlineStr">
        <is>
          <t>光明街公共停车场建设工程（四期）</t>
        </is>
      </c>
      <c r="D843" s="4" t="inlineStr">
        <is>
          <t>罗秀</t>
        </is>
      </c>
      <c r="E843" s="7" t="n">
        <v>1143</v>
      </c>
      <c r="F843" s="7" t="n">
        <v>982.98</v>
      </c>
      <c r="G843" s="7">
        <f>E843-F843</f>
        <v/>
      </c>
      <c r="H843" s="8">
        <f>IFERROR(F843/E843,0)</f>
        <v/>
      </c>
      <c r="I843" s="4">
        <f>IF(H843&gt;=1,"超预算",IF(H843&gt;=0.9,"预警","正常"))</f>
        <v/>
      </c>
      <c r="J843" s="4">
        <f>RANK(F843,$F$4:$F$1203,0)</f>
        <v/>
      </c>
      <c r="K843" s="4" t="inlineStr">
        <is>
          <t>完工</t>
        </is>
      </c>
    </row>
    <row r="844">
      <c r="A844" s="4" t="n">
        <v>841</v>
      </c>
      <c r="B844" s="5" t="inlineStr">
        <is>
          <t>PJ-2026-0841</t>
        </is>
      </c>
      <c r="C844" s="6" t="inlineStr">
        <is>
          <t>城东路道路改造工程</t>
        </is>
      </c>
      <c r="D844" s="4" t="inlineStr">
        <is>
          <t>张伟</t>
        </is>
      </c>
      <c r="E844" s="7" t="n">
        <v>1280</v>
      </c>
      <c r="F844" s="7" t="n">
        <v>576</v>
      </c>
      <c r="G844" s="7">
        <f>E844-F844</f>
        <v/>
      </c>
      <c r="H844" s="8">
        <f>IFERROR(F844/E844,0)</f>
        <v/>
      </c>
      <c r="I844" s="4">
        <f>IF(H844&gt;=1,"超预算",IF(H844&gt;=0.9,"预警","正常"))</f>
        <v/>
      </c>
      <c r="J844" s="4">
        <f>RANK(F844,$F$4:$F$1203,0)</f>
        <v/>
      </c>
      <c r="K844" s="4" t="inlineStr">
        <is>
          <t>在建</t>
        </is>
      </c>
    </row>
    <row r="845">
      <c r="A845" s="4" t="n">
        <v>842</v>
      </c>
      <c r="B845" s="5" t="inlineStr">
        <is>
          <t>PJ-2026-0842</t>
        </is>
      </c>
      <c r="C845" s="6" t="inlineStr">
        <is>
          <t>解放路老旧小区改造项目（二期）</t>
        </is>
      </c>
      <c r="D845" s="4" t="inlineStr">
        <is>
          <t>王磊</t>
        </is>
      </c>
      <c r="E845" s="7" t="n">
        <v>1417</v>
      </c>
      <c r="F845" s="7" t="n">
        <v>1048.58</v>
      </c>
      <c r="G845" s="7">
        <f>E845-F845</f>
        <v/>
      </c>
      <c r="H845" s="8">
        <f>IFERROR(F845/E845,0)</f>
        <v/>
      </c>
      <c r="I845" s="4">
        <f>IF(H845&gt;=1,"超预算",IF(H845&gt;=0.9,"预警","正常"))</f>
        <v/>
      </c>
      <c r="J845" s="4">
        <f>RANK(F845,$F$4:$F$1203,0)</f>
        <v/>
      </c>
      <c r="K845" s="4" t="inlineStr">
        <is>
          <t>待启动</t>
        </is>
      </c>
    </row>
    <row r="846">
      <c r="A846" s="4" t="n">
        <v>843</v>
      </c>
      <c r="B846" s="5" t="inlineStr">
        <is>
          <t>PJ-2026-0843</t>
        </is>
      </c>
      <c r="C846" s="6" t="inlineStr">
        <is>
          <t>和平街智慧园区建设项目（三期）</t>
        </is>
      </c>
      <c r="D846" s="4" t="inlineStr">
        <is>
          <t>李涛</t>
        </is>
      </c>
      <c r="E846" s="7" t="n">
        <v>1554</v>
      </c>
      <c r="F846" s="7" t="n">
        <v>1600.62</v>
      </c>
      <c r="G846" s="7">
        <f>E846-F846</f>
        <v/>
      </c>
      <c r="H846" s="8">
        <f>IFERROR(F846/E846,0)</f>
        <v/>
      </c>
      <c r="I846" s="4">
        <f>IF(H846&gt;=1,"超预算",IF(H846&gt;=0.9,"预警","正常"))</f>
        <v/>
      </c>
      <c r="J846" s="4">
        <f>RANK(F846,$F$4:$F$1203,0)</f>
        <v/>
      </c>
      <c r="K846" s="4" t="inlineStr">
        <is>
          <t>完工</t>
        </is>
      </c>
    </row>
    <row r="847">
      <c r="A847" s="4" t="n">
        <v>844</v>
      </c>
      <c r="B847" s="5" t="inlineStr">
        <is>
          <t>PJ-2026-0844</t>
        </is>
      </c>
      <c r="C847" s="6" t="inlineStr">
        <is>
          <t>光明街污水处理扩容工程（四期）</t>
        </is>
      </c>
      <c r="D847" s="4" t="inlineStr">
        <is>
          <t>赵刚</t>
        </is>
      </c>
      <c r="E847" s="7" t="n">
        <v>1691</v>
      </c>
      <c r="F847" s="7" t="n">
        <v>1048.42</v>
      </c>
      <c r="G847" s="7">
        <f>E847-F847</f>
        <v/>
      </c>
      <c r="H847" s="8">
        <f>IFERROR(F847/E847,0)</f>
        <v/>
      </c>
      <c r="I847" s="4">
        <f>IF(H847&gt;=1,"超预算",IF(H847&gt;=0.9,"预警","正常"))</f>
        <v/>
      </c>
      <c r="J847" s="4">
        <f>RANK(F847,$F$4:$F$1203,0)</f>
        <v/>
      </c>
      <c r="K847" s="4" t="inlineStr">
        <is>
          <t>在建</t>
        </is>
      </c>
    </row>
    <row r="848">
      <c r="A848" s="4" t="n">
        <v>845</v>
      </c>
      <c r="B848" s="5" t="inlineStr">
        <is>
          <t>PJ-2026-0845</t>
        </is>
      </c>
      <c r="C848" s="6" t="inlineStr">
        <is>
          <t>城东路供水管网更新工程</t>
        </is>
      </c>
      <c r="D848" s="4" t="inlineStr">
        <is>
          <t>刘静</t>
        </is>
      </c>
      <c r="E848" s="7" t="n">
        <v>1828</v>
      </c>
      <c r="F848" s="7" t="n">
        <v>1663.48</v>
      </c>
      <c r="G848" s="7">
        <f>E848-F848</f>
        <v/>
      </c>
      <c r="H848" s="8">
        <f>IFERROR(F848/E848,0)</f>
        <v/>
      </c>
      <c r="I848" s="4">
        <f>IF(H848&gt;=1,"超预算",IF(H848&gt;=0.9,"预警","正常"))</f>
        <v/>
      </c>
      <c r="J848" s="4">
        <f>RANK(F848,$F$4:$F$1203,0)</f>
        <v/>
      </c>
      <c r="K848" s="4" t="inlineStr">
        <is>
          <t>待启动</t>
        </is>
      </c>
    </row>
    <row r="849">
      <c r="A849" s="4" t="n">
        <v>846</v>
      </c>
      <c r="B849" s="5" t="inlineStr">
        <is>
          <t>PJ-2026-0846</t>
        </is>
      </c>
      <c r="C849" s="6" t="inlineStr">
        <is>
          <t>解放路河道综合整治工程（二期）</t>
        </is>
      </c>
      <c r="D849" s="4" t="inlineStr">
        <is>
          <t>陈艳</t>
        </is>
      </c>
      <c r="E849" s="7" t="n">
        <v>1965</v>
      </c>
      <c r="F849" s="7" t="n">
        <v>982.5</v>
      </c>
      <c r="G849" s="7">
        <f>E849-F849</f>
        <v/>
      </c>
      <c r="H849" s="8">
        <f>IFERROR(F849/E849,0)</f>
        <v/>
      </c>
      <c r="I849" s="4">
        <f>IF(H849&gt;=1,"超预算",IF(H849&gt;=0.9,"预警","正常"))</f>
        <v/>
      </c>
      <c r="J849" s="4">
        <f>RANK(F849,$F$4:$F$1203,0)</f>
        <v/>
      </c>
      <c r="K849" s="4" t="inlineStr">
        <is>
          <t>完工</t>
        </is>
      </c>
    </row>
    <row r="850">
      <c r="A850" s="4" t="n">
        <v>847</v>
      </c>
      <c r="B850" s="5" t="inlineStr">
        <is>
          <t>PJ-2026-0847</t>
        </is>
      </c>
      <c r="C850" s="6" t="inlineStr">
        <is>
          <t>和平街学校新建工程（三期）</t>
        </is>
      </c>
      <c r="D850" s="4" t="inlineStr">
        <is>
          <t>杨英</t>
        </is>
      </c>
      <c r="E850" s="7" t="n">
        <v>2102</v>
      </c>
      <c r="F850" s="7" t="n">
        <v>1660.58</v>
      </c>
      <c r="G850" s="7">
        <f>E850-F850</f>
        <v/>
      </c>
      <c r="H850" s="8">
        <f>IFERROR(F850/E850,0)</f>
        <v/>
      </c>
      <c r="I850" s="4">
        <f>IF(H850&gt;=1,"超预算",IF(H850&gt;=0.9,"预警","正常"))</f>
        <v/>
      </c>
      <c r="J850" s="4">
        <f>RANK(F850,$F$4:$F$1203,0)</f>
        <v/>
      </c>
      <c r="K850" s="4" t="inlineStr">
        <is>
          <t>在建</t>
        </is>
      </c>
    </row>
    <row r="851">
      <c r="A851" s="4" t="n">
        <v>848</v>
      </c>
      <c r="B851" s="5" t="inlineStr">
        <is>
          <t>PJ-2026-0848</t>
        </is>
      </c>
      <c r="C851" s="6" t="inlineStr">
        <is>
          <t>光明街医院改扩建项目（四期）</t>
        </is>
      </c>
      <c r="D851" s="4" t="inlineStr">
        <is>
          <t>黄芳</t>
        </is>
      </c>
      <c r="E851" s="7" t="n">
        <v>2239</v>
      </c>
      <c r="F851" s="7" t="n">
        <v>2418.12</v>
      </c>
      <c r="G851" s="7">
        <f>E851-F851</f>
        <v/>
      </c>
      <c r="H851" s="8">
        <f>IFERROR(F851/E851,0)</f>
        <v/>
      </c>
      <c r="I851" s="4">
        <f>IF(H851&gt;=1,"超预算",IF(H851&gt;=0.9,"预警","正常"))</f>
        <v/>
      </c>
      <c r="J851" s="4">
        <f>RANK(F851,$F$4:$F$1203,0)</f>
        <v/>
      </c>
      <c r="K851" s="4" t="inlineStr">
        <is>
          <t>待启动</t>
        </is>
      </c>
    </row>
    <row r="852">
      <c r="A852" s="4" t="n">
        <v>849</v>
      </c>
      <c r="B852" s="5" t="inlineStr">
        <is>
          <t>PJ-2026-0849</t>
        </is>
      </c>
      <c r="C852" s="6" t="inlineStr">
        <is>
          <t>城东路公交枢纽建设工程</t>
        </is>
      </c>
      <c r="D852" s="4" t="inlineStr">
        <is>
          <t>周军</t>
        </is>
      </c>
      <c r="E852" s="7" t="n">
        <v>2376</v>
      </c>
      <c r="F852" s="7" t="n">
        <v>1591.92</v>
      </c>
      <c r="G852" s="7">
        <f>E852-F852</f>
        <v/>
      </c>
      <c r="H852" s="8">
        <f>IFERROR(F852/E852,0)</f>
        <v/>
      </c>
      <c r="I852" s="4">
        <f>IF(H852&gt;=1,"超预算",IF(H852&gt;=0.9,"预警","正常"))</f>
        <v/>
      </c>
      <c r="J852" s="4">
        <f>RANK(F852,$F$4:$F$1203,0)</f>
        <v/>
      </c>
      <c r="K852" s="4" t="inlineStr">
        <is>
          <t>完工</t>
        </is>
      </c>
    </row>
    <row r="853">
      <c r="A853" s="4" t="n">
        <v>850</v>
      </c>
      <c r="B853" s="5" t="inlineStr">
        <is>
          <t>PJ-2026-0850</t>
        </is>
      </c>
      <c r="C853" s="6" t="inlineStr">
        <is>
          <t>解放路公共停车场建设工程（二期）</t>
        </is>
      </c>
      <c r="D853" s="4" t="inlineStr">
        <is>
          <t>吴明</t>
        </is>
      </c>
      <c r="E853" s="7" t="n">
        <v>2513</v>
      </c>
      <c r="F853" s="7" t="n">
        <v>2412.48</v>
      </c>
      <c r="G853" s="7">
        <f>E853-F853</f>
        <v/>
      </c>
      <c r="H853" s="8">
        <f>IFERROR(F853/E853,0)</f>
        <v/>
      </c>
      <c r="I853" s="4">
        <f>IF(H853&gt;=1,"超预算",IF(H853&gt;=0.9,"预警","正常"))</f>
        <v/>
      </c>
      <c r="J853" s="4">
        <f>RANK(F853,$F$4:$F$1203,0)</f>
        <v/>
      </c>
      <c r="K853" s="4" t="inlineStr">
        <is>
          <t>在建</t>
        </is>
      </c>
    </row>
    <row r="854">
      <c r="A854" s="4" t="n">
        <v>851</v>
      </c>
      <c r="B854" s="5" t="inlineStr">
        <is>
          <t>PJ-2026-0851</t>
        </is>
      </c>
      <c r="C854" s="6" t="inlineStr">
        <is>
          <t>和平街道路改造工程（三期）</t>
        </is>
      </c>
      <c r="D854" s="4" t="inlineStr">
        <is>
          <t>徐桂</t>
        </is>
      </c>
      <c r="E854" s="7" t="n">
        <v>2650</v>
      </c>
      <c r="F854" s="7" t="n">
        <v>1457.5</v>
      </c>
      <c r="G854" s="7">
        <f>E854-F854</f>
        <v/>
      </c>
      <c r="H854" s="8">
        <f>IFERROR(F854/E854,0)</f>
        <v/>
      </c>
      <c r="I854" s="4">
        <f>IF(H854&gt;=1,"超预算",IF(H854&gt;=0.9,"预警","正常"))</f>
        <v/>
      </c>
      <c r="J854" s="4">
        <f>RANK(F854,$F$4:$F$1203,0)</f>
        <v/>
      </c>
      <c r="K854" s="4" t="inlineStr">
        <is>
          <t>待启动</t>
        </is>
      </c>
    </row>
    <row r="855">
      <c r="A855" s="4" t="n">
        <v>852</v>
      </c>
      <c r="B855" s="5" t="inlineStr">
        <is>
          <t>PJ-2026-0852</t>
        </is>
      </c>
      <c r="C855" s="6" t="inlineStr">
        <is>
          <t>光明街老旧小区改造项目（四期）</t>
        </is>
      </c>
      <c r="D855" s="4" t="inlineStr">
        <is>
          <t>孙丽</t>
        </is>
      </c>
      <c r="E855" s="7" t="n">
        <v>2787</v>
      </c>
      <c r="F855" s="7" t="n">
        <v>2341.08</v>
      </c>
      <c r="G855" s="7">
        <f>E855-F855</f>
        <v/>
      </c>
      <c r="H855" s="8">
        <f>IFERROR(F855/E855,0)</f>
        <v/>
      </c>
      <c r="I855" s="4">
        <f>IF(H855&gt;=1,"超预算",IF(H855&gt;=0.9,"预警","正常"))</f>
        <v/>
      </c>
      <c r="J855" s="4">
        <f>RANK(F855,$F$4:$F$1203,0)</f>
        <v/>
      </c>
      <c r="K855" s="4" t="inlineStr">
        <is>
          <t>完工</t>
        </is>
      </c>
    </row>
    <row r="856">
      <c r="A856" s="4" t="n">
        <v>853</v>
      </c>
      <c r="B856" s="5" t="inlineStr">
        <is>
          <t>PJ-2026-0853</t>
        </is>
      </c>
      <c r="C856" s="6" t="inlineStr">
        <is>
          <t>城东路智慧园区建设项目</t>
        </is>
      </c>
      <c r="D856" s="4" t="inlineStr">
        <is>
          <t>马杰</t>
        </is>
      </c>
      <c r="E856" s="7" t="n">
        <v>2924</v>
      </c>
      <c r="F856" s="7" t="n">
        <v>3304.12</v>
      </c>
      <c r="G856" s="7">
        <f>E856-F856</f>
        <v/>
      </c>
      <c r="H856" s="8">
        <f>IFERROR(F856/E856,0)</f>
        <v/>
      </c>
      <c r="I856" s="4">
        <f>IF(H856&gt;=1,"超预算",IF(H856&gt;=0.9,"预警","正常"))</f>
        <v/>
      </c>
      <c r="J856" s="4">
        <f>RANK(F856,$F$4:$F$1203,0)</f>
        <v/>
      </c>
      <c r="K856" s="4" t="inlineStr">
        <is>
          <t>在建</t>
        </is>
      </c>
    </row>
    <row r="857">
      <c r="A857" s="4" t="n">
        <v>854</v>
      </c>
      <c r="B857" s="5" t="inlineStr">
        <is>
          <t>PJ-2026-0854</t>
        </is>
      </c>
      <c r="C857" s="6" t="inlineStr">
        <is>
          <t>解放路污水处理扩容工程（二期）</t>
        </is>
      </c>
      <c r="D857" s="4" t="inlineStr">
        <is>
          <t>朱霞</t>
        </is>
      </c>
      <c r="E857" s="7" t="n">
        <v>3061</v>
      </c>
      <c r="F857" s="7" t="n">
        <v>2203.92</v>
      </c>
      <c r="G857" s="7">
        <f>E857-F857</f>
        <v/>
      </c>
      <c r="H857" s="8">
        <f>IFERROR(F857/E857,0)</f>
        <v/>
      </c>
      <c r="I857" s="4">
        <f>IF(H857&gt;=1,"超预算",IF(H857&gt;=0.9,"预警","正常"))</f>
        <v/>
      </c>
      <c r="J857" s="4">
        <f>RANK(F857,$F$4:$F$1203,0)</f>
        <v/>
      </c>
      <c r="K857" s="4" t="inlineStr">
        <is>
          <t>待启动</t>
        </is>
      </c>
    </row>
    <row r="858">
      <c r="A858" s="4" t="n">
        <v>855</v>
      </c>
      <c r="B858" s="5" t="inlineStr">
        <is>
          <t>PJ-2026-0855</t>
        </is>
      </c>
      <c r="C858" s="6" t="inlineStr">
        <is>
          <t>和平街供水管网更新工程（三期）</t>
        </is>
      </c>
      <c r="D858" s="4" t="inlineStr">
        <is>
          <t>胡娜</t>
        </is>
      </c>
      <c r="E858" s="7" t="n">
        <v>3198</v>
      </c>
      <c r="F858" s="7" t="n">
        <v>3229.98</v>
      </c>
      <c r="G858" s="7">
        <f>E858-F858</f>
        <v/>
      </c>
      <c r="H858" s="8">
        <f>IFERROR(F858/E858,0)</f>
        <v/>
      </c>
      <c r="I858" s="4">
        <f>IF(H858&gt;=1,"超预算",IF(H858&gt;=0.9,"预警","正常"))</f>
        <v/>
      </c>
      <c r="J858" s="4">
        <f>RANK(F858,$F$4:$F$1203,0)</f>
        <v/>
      </c>
      <c r="K858" s="4" t="inlineStr">
        <is>
          <t>完工</t>
        </is>
      </c>
    </row>
    <row r="859">
      <c r="A859" s="4" t="n">
        <v>856</v>
      </c>
      <c r="B859" s="5" t="inlineStr">
        <is>
          <t>PJ-2026-0856</t>
        </is>
      </c>
      <c r="C859" s="6" t="inlineStr">
        <is>
          <t>光明街河道综合整治工程（四期）</t>
        </is>
      </c>
      <c r="D859" s="4" t="inlineStr">
        <is>
          <t>郭洋</t>
        </is>
      </c>
      <c r="E859" s="7" t="n">
        <v>3335</v>
      </c>
      <c r="F859" s="7" t="n">
        <v>2001</v>
      </c>
      <c r="G859" s="7">
        <f>E859-F859</f>
        <v/>
      </c>
      <c r="H859" s="8">
        <f>IFERROR(F859/E859,0)</f>
        <v/>
      </c>
      <c r="I859" s="4">
        <f>IF(H859&gt;=1,"超预算",IF(H859&gt;=0.9,"预警","正常"))</f>
        <v/>
      </c>
      <c r="J859" s="4">
        <f>RANK(F859,$F$4:$F$1203,0)</f>
        <v/>
      </c>
      <c r="K859" s="4" t="inlineStr">
        <is>
          <t>在建</t>
        </is>
      </c>
    </row>
    <row r="860">
      <c r="A860" s="4" t="n">
        <v>857</v>
      </c>
      <c r="B860" s="5" t="inlineStr">
        <is>
          <t>PJ-2026-0857</t>
        </is>
      </c>
      <c r="C860" s="6" t="inlineStr">
        <is>
          <t>城东路学校新建工程</t>
        </is>
      </c>
      <c r="D860" s="4" t="inlineStr">
        <is>
          <t>何超</t>
        </is>
      </c>
      <c r="E860" s="7" t="n">
        <v>3472</v>
      </c>
      <c r="F860" s="7" t="n">
        <v>3090.08</v>
      </c>
      <c r="G860" s="7">
        <f>E860-F860</f>
        <v/>
      </c>
      <c r="H860" s="8">
        <f>IFERROR(F860/E860,0)</f>
        <v/>
      </c>
      <c r="I860" s="4">
        <f>IF(H860&gt;=1,"超预算",IF(H860&gt;=0.9,"预警","正常"))</f>
        <v/>
      </c>
      <c r="J860" s="4">
        <f>RANK(F860,$F$4:$F$1203,0)</f>
        <v/>
      </c>
      <c r="K860" s="4" t="inlineStr">
        <is>
          <t>待启动</t>
        </is>
      </c>
    </row>
    <row r="861">
      <c r="A861" s="4" t="n">
        <v>858</v>
      </c>
      <c r="B861" s="5" t="inlineStr">
        <is>
          <t>PJ-2026-0858</t>
        </is>
      </c>
      <c r="C861" s="6" t="inlineStr">
        <is>
          <t>解放路医院改扩建项目（二期）</t>
        </is>
      </c>
      <c r="D861" s="4" t="inlineStr">
        <is>
          <t>高英</t>
        </is>
      </c>
      <c r="E861" s="7" t="n">
        <v>3609</v>
      </c>
      <c r="F861" s="7" t="n">
        <v>1732.32</v>
      </c>
      <c r="G861" s="7">
        <f>E861-F861</f>
        <v/>
      </c>
      <c r="H861" s="8">
        <f>IFERROR(F861/E861,0)</f>
        <v/>
      </c>
      <c r="I861" s="4">
        <f>IF(H861&gt;=1,"超预算",IF(H861&gt;=0.9,"预警","正常"))</f>
        <v/>
      </c>
      <c r="J861" s="4">
        <f>RANK(F861,$F$4:$F$1203,0)</f>
        <v/>
      </c>
      <c r="K861" s="4" t="inlineStr">
        <is>
          <t>完工</t>
        </is>
      </c>
    </row>
    <row r="862">
      <c r="A862" s="4" t="n">
        <v>859</v>
      </c>
      <c r="B862" s="5" t="inlineStr">
        <is>
          <t>PJ-2026-0859</t>
        </is>
      </c>
      <c r="C862" s="6" t="inlineStr">
        <is>
          <t>和平街公交枢纽建设工程（三期）</t>
        </is>
      </c>
      <c r="D862" s="4" t="inlineStr">
        <is>
          <t>林强</t>
        </is>
      </c>
      <c r="E862" s="7" t="n">
        <v>3746</v>
      </c>
      <c r="F862" s="7" t="n">
        <v>2884.42</v>
      </c>
      <c r="G862" s="7">
        <f>E862-F862</f>
        <v/>
      </c>
      <c r="H862" s="8">
        <f>IFERROR(F862/E862,0)</f>
        <v/>
      </c>
      <c r="I862" s="4">
        <f>IF(H862&gt;=1,"超预算",IF(H862&gt;=0.9,"预警","正常"))</f>
        <v/>
      </c>
      <c r="J862" s="4">
        <f>RANK(F862,$F$4:$F$1203,0)</f>
        <v/>
      </c>
      <c r="K862" s="4" t="inlineStr">
        <is>
          <t>在建</t>
        </is>
      </c>
    </row>
    <row r="863">
      <c r="A863" s="4" t="n">
        <v>860</v>
      </c>
      <c r="B863" s="5" t="inlineStr">
        <is>
          <t>PJ-2026-0860</t>
        </is>
      </c>
      <c r="C863" s="6" t="inlineStr">
        <is>
          <t>光明街公共停车场建设工程（四期）</t>
        </is>
      </c>
      <c r="D863" s="4" t="inlineStr">
        <is>
          <t>罗娟</t>
        </is>
      </c>
      <c r="E863" s="7" t="n">
        <v>3883</v>
      </c>
      <c r="F863" s="7" t="n">
        <v>4115.98</v>
      </c>
      <c r="G863" s="7">
        <f>E863-F863</f>
        <v/>
      </c>
      <c r="H863" s="8">
        <f>IFERROR(F863/E863,0)</f>
        <v/>
      </c>
      <c r="I863" s="4">
        <f>IF(H863&gt;=1,"超预算",IF(H863&gt;=0.9,"预警","正常"))</f>
        <v/>
      </c>
      <c r="J863" s="4">
        <f>RANK(F863,$F$4:$F$1203,0)</f>
        <v/>
      </c>
      <c r="K863" s="4" t="inlineStr">
        <is>
          <t>待启动</t>
        </is>
      </c>
    </row>
    <row r="864">
      <c r="A864" s="4" t="n">
        <v>861</v>
      </c>
      <c r="B864" s="5" t="inlineStr">
        <is>
          <t>PJ-2026-0861</t>
        </is>
      </c>
      <c r="C864" s="6" t="inlineStr">
        <is>
          <t>城东路道路改造工程</t>
        </is>
      </c>
      <c r="D864" s="4" t="inlineStr">
        <is>
          <t>张平</t>
        </is>
      </c>
      <c r="E864" s="7" t="n">
        <v>4020</v>
      </c>
      <c r="F864" s="7" t="n">
        <v>2613</v>
      </c>
      <c r="G864" s="7">
        <f>E864-F864</f>
        <v/>
      </c>
      <c r="H864" s="8">
        <f>IFERROR(F864/E864,0)</f>
        <v/>
      </c>
      <c r="I864" s="4">
        <f>IF(H864&gt;=1,"超预算",IF(H864&gt;=0.9,"预警","正常"))</f>
        <v/>
      </c>
      <c r="J864" s="4">
        <f>RANK(F864,$F$4:$F$1203,0)</f>
        <v/>
      </c>
      <c r="K864" s="4" t="inlineStr">
        <is>
          <t>完工</t>
        </is>
      </c>
    </row>
    <row r="865">
      <c r="A865" s="4" t="n">
        <v>862</v>
      </c>
      <c r="B865" s="5" t="inlineStr">
        <is>
          <t>PJ-2026-0862</t>
        </is>
      </c>
      <c r="C865" s="6" t="inlineStr">
        <is>
          <t>解放路老旧小区改造项目（二期）</t>
        </is>
      </c>
      <c r="D865" s="4" t="inlineStr">
        <is>
          <t>王敏</t>
        </is>
      </c>
      <c r="E865" s="7" t="n">
        <v>4157</v>
      </c>
      <c r="F865" s="7" t="n">
        <v>3907.58</v>
      </c>
      <c r="G865" s="7">
        <f>E865-F865</f>
        <v/>
      </c>
      <c r="H865" s="8">
        <f>IFERROR(F865/E865,0)</f>
        <v/>
      </c>
      <c r="I865" s="4">
        <f>IF(H865&gt;=1,"超预算",IF(H865&gt;=0.9,"预警","正常"))</f>
        <v/>
      </c>
      <c r="J865" s="4">
        <f>RANK(F865,$F$4:$F$1203,0)</f>
        <v/>
      </c>
      <c r="K865" s="4" t="inlineStr">
        <is>
          <t>在建</t>
        </is>
      </c>
    </row>
    <row r="866">
      <c r="A866" s="4" t="n">
        <v>863</v>
      </c>
      <c r="B866" s="5" t="inlineStr">
        <is>
          <t>PJ-2026-0863</t>
        </is>
      </c>
      <c r="C866" s="6" t="inlineStr">
        <is>
          <t>和平街智慧园区建设项目（三期）</t>
        </is>
      </c>
      <c r="D866" s="4" t="inlineStr">
        <is>
          <t>李勇</t>
        </is>
      </c>
      <c r="E866" s="7" t="n">
        <v>4294</v>
      </c>
      <c r="F866" s="7" t="n">
        <v>2275.82</v>
      </c>
      <c r="G866" s="7">
        <f>E866-F866</f>
        <v/>
      </c>
      <c r="H866" s="8">
        <f>IFERROR(F866/E866,0)</f>
        <v/>
      </c>
      <c r="I866" s="4">
        <f>IF(H866&gt;=1,"超预算",IF(H866&gt;=0.9,"预警","正常"))</f>
        <v/>
      </c>
      <c r="J866" s="4">
        <f>RANK(F866,$F$4:$F$1203,0)</f>
        <v/>
      </c>
      <c r="K866" s="4" t="inlineStr">
        <is>
          <t>待启动</t>
        </is>
      </c>
    </row>
    <row r="867">
      <c r="A867" s="4" t="n">
        <v>864</v>
      </c>
      <c r="B867" s="5" t="inlineStr">
        <is>
          <t>PJ-2026-0864</t>
        </is>
      </c>
      <c r="C867" s="6" t="inlineStr">
        <is>
          <t>光明街污水处理扩容工程（四期）</t>
        </is>
      </c>
      <c r="D867" s="4" t="inlineStr">
        <is>
          <t>赵秀</t>
        </is>
      </c>
      <c r="E867" s="7" t="n">
        <v>4431</v>
      </c>
      <c r="F867" s="7" t="n">
        <v>3633.42</v>
      </c>
      <c r="G867" s="7">
        <f>E867-F867</f>
        <v/>
      </c>
      <c r="H867" s="8">
        <f>IFERROR(F867/E867,0)</f>
        <v/>
      </c>
      <c r="I867" s="4">
        <f>IF(H867&gt;=1,"超预算",IF(H867&gt;=0.9,"预警","正常"))</f>
        <v/>
      </c>
      <c r="J867" s="4">
        <f>RANK(F867,$F$4:$F$1203,0)</f>
        <v/>
      </c>
      <c r="K867" s="4" t="inlineStr">
        <is>
          <t>完工</t>
        </is>
      </c>
    </row>
    <row r="868">
      <c r="A868" s="4" t="n">
        <v>865</v>
      </c>
      <c r="B868" s="5" t="inlineStr">
        <is>
          <t>PJ-2026-0865</t>
        </is>
      </c>
      <c r="C868" s="6" t="inlineStr">
        <is>
          <t>城东路供水管网更新工程</t>
        </is>
      </c>
      <c r="D868" s="4" t="inlineStr">
        <is>
          <t>刘伟</t>
        </is>
      </c>
      <c r="E868" s="7" t="n">
        <v>4568</v>
      </c>
      <c r="F868" s="7" t="n">
        <v>5070.48</v>
      </c>
      <c r="G868" s="7">
        <f>E868-F868</f>
        <v/>
      </c>
      <c r="H868" s="8">
        <f>IFERROR(F868/E868,0)</f>
        <v/>
      </c>
      <c r="I868" s="4">
        <f>IF(H868&gt;=1,"超预算",IF(H868&gt;=0.9,"预警","正常"))</f>
        <v/>
      </c>
      <c r="J868" s="4">
        <f>RANK(F868,$F$4:$F$1203,0)</f>
        <v/>
      </c>
      <c r="K868" s="4" t="inlineStr">
        <is>
          <t>在建</t>
        </is>
      </c>
    </row>
    <row r="869">
      <c r="A869" s="4" t="n">
        <v>866</v>
      </c>
      <c r="B869" s="5" t="inlineStr">
        <is>
          <t>PJ-2026-0866</t>
        </is>
      </c>
      <c r="C869" s="6" t="inlineStr">
        <is>
          <t>解放路河道综合整治工程（二期）</t>
        </is>
      </c>
      <c r="D869" s="4" t="inlineStr">
        <is>
          <t>陈磊</t>
        </is>
      </c>
      <c r="E869" s="7" t="n">
        <v>4705</v>
      </c>
      <c r="F869" s="7" t="n">
        <v>3293.5</v>
      </c>
      <c r="G869" s="7">
        <f>E869-F869</f>
        <v/>
      </c>
      <c r="H869" s="8">
        <f>IFERROR(F869/E869,0)</f>
        <v/>
      </c>
      <c r="I869" s="4">
        <f>IF(H869&gt;=1,"超预算",IF(H869&gt;=0.9,"预警","正常"))</f>
        <v/>
      </c>
      <c r="J869" s="4">
        <f>RANK(F869,$F$4:$F$1203,0)</f>
        <v/>
      </c>
      <c r="K869" s="4" t="inlineStr">
        <is>
          <t>待启动</t>
        </is>
      </c>
    </row>
    <row r="870">
      <c r="A870" s="4" t="n">
        <v>867</v>
      </c>
      <c r="B870" s="5" t="inlineStr">
        <is>
          <t>PJ-2026-0867</t>
        </is>
      </c>
      <c r="C870" s="6" t="inlineStr">
        <is>
          <t>和平街学校新建工程（三期）</t>
        </is>
      </c>
      <c r="D870" s="4" t="inlineStr">
        <is>
          <t>杨涛</t>
        </is>
      </c>
      <c r="E870" s="7" t="n">
        <v>4842</v>
      </c>
      <c r="F870" s="7" t="n">
        <v>4793.58</v>
      </c>
      <c r="G870" s="7">
        <f>E870-F870</f>
        <v/>
      </c>
      <c r="H870" s="8">
        <f>IFERROR(F870/E870,0)</f>
        <v/>
      </c>
      <c r="I870" s="4">
        <f>IF(H870&gt;=1,"超预算",IF(H870&gt;=0.9,"预警","正常"))</f>
        <v/>
      </c>
      <c r="J870" s="4">
        <f>RANK(F870,$F$4:$F$1203,0)</f>
        <v/>
      </c>
      <c r="K870" s="4" t="inlineStr">
        <is>
          <t>完工</t>
        </is>
      </c>
    </row>
    <row r="871">
      <c r="A871" s="4" t="n">
        <v>868</v>
      </c>
      <c r="B871" s="5" t="inlineStr">
        <is>
          <t>PJ-2026-0868</t>
        </is>
      </c>
      <c r="C871" s="6" t="inlineStr">
        <is>
          <t>光明街医院改扩建项目（四期）</t>
        </is>
      </c>
      <c r="D871" s="4" t="inlineStr">
        <is>
          <t>黄刚</t>
        </is>
      </c>
      <c r="E871" s="7" t="n">
        <v>4979</v>
      </c>
      <c r="F871" s="7" t="n">
        <v>2887.82</v>
      </c>
      <c r="G871" s="7">
        <f>E871-F871</f>
        <v/>
      </c>
      <c r="H871" s="8">
        <f>IFERROR(F871/E871,0)</f>
        <v/>
      </c>
      <c r="I871" s="4">
        <f>IF(H871&gt;=1,"超预算",IF(H871&gt;=0.9,"预警","正常"))</f>
        <v/>
      </c>
      <c r="J871" s="4">
        <f>RANK(F871,$F$4:$F$1203,0)</f>
        <v/>
      </c>
      <c r="K871" s="4" t="inlineStr">
        <is>
          <t>在建</t>
        </is>
      </c>
    </row>
    <row r="872">
      <c r="A872" s="4" t="n">
        <v>869</v>
      </c>
      <c r="B872" s="5" t="inlineStr">
        <is>
          <t>PJ-2026-0869</t>
        </is>
      </c>
      <c r="C872" s="6" t="inlineStr">
        <is>
          <t>城东路公交枢纽建设工程</t>
        </is>
      </c>
      <c r="D872" s="4" t="inlineStr">
        <is>
          <t>周静</t>
        </is>
      </c>
      <c r="E872" s="7" t="n">
        <v>166</v>
      </c>
      <c r="F872" s="7" t="n">
        <v>144.42</v>
      </c>
      <c r="G872" s="7">
        <f>E872-F872</f>
        <v/>
      </c>
      <c r="H872" s="8">
        <f>IFERROR(F872/E872,0)</f>
        <v/>
      </c>
      <c r="I872" s="4">
        <f>IF(H872&gt;=1,"超预算",IF(H872&gt;=0.9,"预警","正常"))</f>
        <v/>
      </c>
      <c r="J872" s="4">
        <f>RANK(F872,$F$4:$F$1203,0)</f>
        <v/>
      </c>
      <c r="K872" s="4" t="inlineStr">
        <is>
          <t>待启动</t>
        </is>
      </c>
    </row>
    <row r="873">
      <c r="A873" s="4" t="n">
        <v>870</v>
      </c>
      <c r="B873" s="5" t="inlineStr">
        <is>
          <t>PJ-2026-0870</t>
        </is>
      </c>
      <c r="C873" s="6" t="inlineStr">
        <is>
          <t>解放路公共停车场建设工程（二期）</t>
        </is>
      </c>
      <c r="D873" s="4" t="inlineStr">
        <is>
          <t>吴艳</t>
        </is>
      </c>
      <c r="E873" s="7" t="n">
        <v>303</v>
      </c>
      <c r="F873" s="7" t="n">
        <v>139.38</v>
      </c>
      <c r="G873" s="7">
        <f>E873-F873</f>
        <v/>
      </c>
      <c r="H873" s="8">
        <f>IFERROR(F873/E873,0)</f>
        <v/>
      </c>
      <c r="I873" s="4">
        <f>IF(H873&gt;=1,"超预算",IF(H873&gt;=0.9,"预警","正常"))</f>
        <v/>
      </c>
      <c r="J873" s="4">
        <f>RANK(F873,$F$4:$F$1203,0)</f>
        <v/>
      </c>
      <c r="K873" s="4" t="inlineStr">
        <is>
          <t>完工</t>
        </is>
      </c>
    </row>
    <row r="874">
      <c r="A874" s="4" t="n">
        <v>871</v>
      </c>
      <c r="B874" s="5" t="inlineStr">
        <is>
          <t>PJ-2026-0871</t>
        </is>
      </c>
      <c r="C874" s="6" t="inlineStr">
        <is>
          <t>和平街道路改造工程（三期）</t>
        </is>
      </c>
      <c r="D874" s="4" t="inlineStr">
        <is>
          <t>徐英</t>
        </is>
      </c>
      <c r="E874" s="7" t="n">
        <v>440</v>
      </c>
      <c r="F874" s="7" t="n">
        <v>330</v>
      </c>
      <c r="G874" s="7">
        <f>E874-F874</f>
        <v/>
      </c>
      <c r="H874" s="8">
        <f>IFERROR(F874/E874,0)</f>
        <v/>
      </c>
      <c r="I874" s="4">
        <f>IF(H874&gt;=1,"超预算",IF(H874&gt;=0.9,"预警","正常"))</f>
        <v/>
      </c>
      <c r="J874" s="4">
        <f>RANK(F874,$F$4:$F$1203,0)</f>
        <v/>
      </c>
      <c r="K874" s="4" t="inlineStr">
        <is>
          <t>在建</t>
        </is>
      </c>
    </row>
    <row r="875">
      <c r="A875" s="4" t="n">
        <v>872</v>
      </c>
      <c r="B875" s="5" t="inlineStr">
        <is>
          <t>PJ-2026-0872</t>
        </is>
      </c>
      <c r="C875" s="6" t="inlineStr">
        <is>
          <t>光明街老旧小区改造项目（四期）</t>
        </is>
      </c>
      <c r="D875" s="4" t="inlineStr">
        <is>
          <t>孙芳</t>
        </is>
      </c>
      <c r="E875" s="7" t="n">
        <v>577</v>
      </c>
      <c r="F875" s="7" t="n">
        <v>600.08</v>
      </c>
      <c r="G875" s="7">
        <f>E875-F875</f>
        <v/>
      </c>
      <c r="H875" s="8">
        <f>IFERROR(F875/E875,0)</f>
        <v/>
      </c>
      <c r="I875" s="4">
        <f>IF(H875&gt;=1,"超预算",IF(H875&gt;=0.9,"预警","正常"))</f>
        <v/>
      </c>
      <c r="J875" s="4">
        <f>RANK(F875,$F$4:$F$1203,0)</f>
        <v/>
      </c>
      <c r="K875" s="4" t="inlineStr">
        <is>
          <t>待启动</t>
        </is>
      </c>
    </row>
    <row r="876">
      <c r="A876" s="4" t="n">
        <v>873</v>
      </c>
      <c r="B876" s="5" t="inlineStr">
        <is>
          <t>PJ-2026-0873</t>
        </is>
      </c>
      <c r="C876" s="6" t="inlineStr">
        <is>
          <t>城东路智慧园区建设项目</t>
        </is>
      </c>
      <c r="D876" s="4" t="inlineStr">
        <is>
          <t>马军</t>
        </is>
      </c>
      <c r="E876" s="7" t="n">
        <v>714</v>
      </c>
      <c r="F876" s="7" t="n">
        <v>449.82</v>
      </c>
      <c r="G876" s="7">
        <f>E876-F876</f>
        <v/>
      </c>
      <c r="H876" s="8">
        <f>IFERROR(F876/E876,0)</f>
        <v/>
      </c>
      <c r="I876" s="4">
        <f>IF(H876&gt;=1,"超预算",IF(H876&gt;=0.9,"预警","正常"))</f>
        <v/>
      </c>
      <c r="J876" s="4">
        <f>RANK(F876,$F$4:$F$1203,0)</f>
        <v/>
      </c>
      <c r="K876" s="4" t="inlineStr">
        <is>
          <t>完工</t>
        </is>
      </c>
    </row>
    <row r="877">
      <c r="A877" s="4" t="n">
        <v>874</v>
      </c>
      <c r="B877" s="5" t="inlineStr">
        <is>
          <t>PJ-2026-0874</t>
        </is>
      </c>
      <c r="C877" s="6" t="inlineStr">
        <is>
          <t>解放路污水处理扩容工程（二期）</t>
        </is>
      </c>
      <c r="D877" s="4" t="inlineStr">
        <is>
          <t>朱明</t>
        </is>
      </c>
      <c r="E877" s="7" t="n">
        <v>851</v>
      </c>
      <c r="F877" s="7" t="n">
        <v>782.92</v>
      </c>
      <c r="G877" s="7">
        <f>E877-F877</f>
        <v/>
      </c>
      <c r="H877" s="8">
        <f>IFERROR(F877/E877,0)</f>
        <v/>
      </c>
      <c r="I877" s="4">
        <f>IF(H877&gt;=1,"超预算",IF(H877&gt;=0.9,"预警","正常"))</f>
        <v/>
      </c>
      <c r="J877" s="4">
        <f>RANK(F877,$F$4:$F$1203,0)</f>
        <v/>
      </c>
      <c r="K877" s="4" t="inlineStr">
        <is>
          <t>在建</t>
        </is>
      </c>
    </row>
    <row r="878">
      <c r="A878" s="4" t="n">
        <v>875</v>
      </c>
      <c r="B878" s="5" t="inlineStr">
        <is>
          <t>PJ-2026-0875</t>
        </is>
      </c>
      <c r="C878" s="6" t="inlineStr">
        <is>
          <t>和平街供水管网更新工程（三期）</t>
        </is>
      </c>
      <c r="D878" s="4" t="inlineStr">
        <is>
          <t>胡桂</t>
        </is>
      </c>
      <c r="E878" s="7" t="n">
        <v>988</v>
      </c>
      <c r="F878" s="7" t="n">
        <v>503.88</v>
      </c>
      <c r="G878" s="7">
        <f>E878-F878</f>
        <v/>
      </c>
      <c r="H878" s="8">
        <f>IFERROR(F878/E878,0)</f>
        <v/>
      </c>
      <c r="I878" s="4">
        <f>IF(H878&gt;=1,"超预算",IF(H878&gt;=0.9,"预警","正常"))</f>
        <v/>
      </c>
      <c r="J878" s="4">
        <f>RANK(F878,$F$4:$F$1203,0)</f>
        <v/>
      </c>
      <c r="K878" s="4" t="inlineStr">
        <is>
          <t>待启动</t>
        </is>
      </c>
    </row>
    <row r="879">
      <c r="A879" s="4" t="n">
        <v>876</v>
      </c>
      <c r="B879" s="5" t="inlineStr">
        <is>
          <t>PJ-2026-0876</t>
        </is>
      </c>
      <c r="C879" s="6" t="inlineStr">
        <is>
          <t>光明街河道综合整治工程（四期）</t>
        </is>
      </c>
      <c r="D879" s="4" t="inlineStr">
        <is>
          <t>郭丽</t>
        </is>
      </c>
      <c r="E879" s="7" t="n">
        <v>1125</v>
      </c>
      <c r="F879" s="7" t="n">
        <v>900</v>
      </c>
      <c r="G879" s="7">
        <f>E879-F879</f>
        <v/>
      </c>
      <c r="H879" s="8">
        <f>IFERROR(F879/E879,0)</f>
        <v/>
      </c>
      <c r="I879" s="4">
        <f>IF(H879&gt;=1,"超预算",IF(H879&gt;=0.9,"预警","正常"))</f>
        <v/>
      </c>
      <c r="J879" s="4">
        <f>RANK(F879,$F$4:$F$1203,0)</f>
        <v/>
      </c>
      <c r="K879" s="4" t="inlineStr">
        <is>
          <t>完工</t>
        </is>
      </c>
    </row>
    <row r="880">
      <c r="A880" s="4" t="n">
        <v>877</v>
      </c>
      <c r="B880" s="5" t="inlineStr">
        <is>
          <t>PJ-2026-0877</t>
        </is>
      </c>
      <c r="C880" s="6" t="inlineStr">
        <is>
          <t>城东路学校新建工程</t>
        </is>
      </c>
      <c r="D880" s="4" t="inlineStr">
        <is>
          <t>何杰</t>
        </is>
      </c>
      <c r="E880" s="7" t="n">
        <v>1262</v>
      </c>
      <c r="F880" s="7" t="n">
        <v>1375.58</v>
      </c>
      <c r="G880" s="7">
        <f>E880-F880</f>
        <v/>
      </c>
      <c r="H880" s="8">
        <f>IFERROR(F880/E880,0)</f>
        <v/>
      </c>
      <c r="I880" s="4">
        <f>IF(H880&gt;=1,"超预算",IF(H880&gt;=0.9,"预警","正常"))</f>
        <v/>
      </c>
      <c r="J880" s="4">
        <f>RANK(F880,$F$4:$F$1203,0)</f>
        <v/>
      </c>
      <c r="K880" s="4" t="inlineStr">
        <is>
          <t>在建</t>
        </is>
      </c>
    </row>
    <row r="881">
      <c r="A881" s="4" t="n">
        <v>878</v>
      </c>
      <c r="B881" s="5" t="inlineStr">
        <is>
          <t>PJ-2026-0878</t>
        </is>
      </c>
      <c r="C881" s="6" t="inlineStr">
        <is>
          <t>解放路医院改扩建项目（二期）</t>
        </is>
      </c>
      <c r="D881" s="4" t="inlineStr">
        <is>
          <t>高霞</t>
        </is>
      </c>
      <c r="E881" s="7" t="n">
        <v>1399</v>
      </c>
      <c r="F881" s="7" t="n">
        <v>951.3200000000001</v>
      </c>
      <c r="G881" s="7">
        <f>E881-F881</f>
        <v/>
      </c>
      <c r="H881" s="8">
        <f>IFERROR(F881/E881,0)</f>
        <v/>
      </c>
      <c r="I881" s="4">
        <f>IF(H881&gt;=1,"超预算",IF(H881&gt;=0.9,"预警","正常"))</f>
        <v/>
      </c>
      <c r="J881" s="4">
        <f>RANK(F881,$F$4:$F$1203,0)</f>
        <v/>
      </c>
      <c r="K881" s="4" t="inlineStr">
        <is>
          <t>待启动</t>
        </is>
      </c>
    </row>
    <row r="882">
      <c r="A882" s="4" t="n">
        <v>879</v>
      </c>
      <c r="B882" s="5" t="inlineStr">
        <is>
          <t>PJ-2026-0879</t>
        </is>
      </c>
      <c r="C882" s="6" t="inlineStr">
        <is>
          <t>和平街公交枢纽建设工程（三期）</t>
        </is>
      </c>
      <c r="D882" s="4" t="inlineStr">
        <is>
          <t>林娜</t>
        </is>
      </c>
      <c r="E882" s="7" t="n">
        <v>1536</v>
      </c>
      <c r="F882" s="7" t="n">
        <v>1489.92</v>
      </c>
      <c r="G882" s="7">
        <f>E882-F882</f>
        <v/>
      </c>
      <c r="H882" s="8">
        <f>IFERROR(F882/E882,0)</f>
        <v/>
      </c>
      <c r="I882" s="4">
        <f>IF(H882&gt;=1,"超预算",IF(H882&gt;=0.9,"预警","正常"))</f>
        <v/>
      </c>
      <c r="J882" s="4">
        <f>RANK(F882,$F$4:$F$1203,0)</f>
        <v/>
      </c>
      <c r="K882" s="4" t="inlineStr">
        <is>
          <t>完工</t>
        </is>
      </c>
    </row>
    <row r="883">
      <c r="A883" s="4" t="n">
        <v>880</v>
      </c>
      <c r="B883" s="5" t="inlineStr">
        <is>
          <t>PJ-2026-0880</t>
        </is>
      </c>
      <c r="C883" s="6" t="inlineStr">
        <is>
          <t>光明街公共停车场建设工程（四期）</t>
        </is>
      </c>
      <c r="D883" s="4" t="inlineStr">
        <is>
          <t>罗洋</t>
        </is>
      </c>
      <c r="E883" s="7" t="n">
        <v>1673</v>
      </c>
      <c r="F883" s="7" t="n">
        <v>936.88</v>
      </c>
      <c r="G883" s="7">
        <f>E883-F883</f>
        <v/>
      </c>
      <c r="H883" s="8">
        <f>IFERROR(F883/E883,0)</f>
        <v/>
      </c>
      <c r="I883" s="4">
        <f>IF(H883&gt;=1,"超预算",IF(H883&gt;=0.9,"预警","正常"))</f>
        <v/>
      </c>
      <c r="J883" s="4">
        <f>RANK(F883,$F$4:$F$1203,0)</f>
        <v/>
      </c>
      <c r="K883" s="4" t="inlineStr">
        <is>
          <t>在建</t>
        </is>
      </c>
    </row>
    <row r="884">
      <c r="A884" s="4" t="n">
        <v>881</v>
      </c>
      <c r="B884" s="5" t="inlineStr">
        <is>
          <t>PJ-2026-0881</t>
        </is>
      </c>
      <c r="C884" s="6" t="inlineStr">
        <is>
          <t>城东路道路改造工程</t>
        </is>
      </c>
      <c r="D884" s="4" t="inlineStr">
        <is>
          <t>张超</t>
        </is>
      </c>
      <c r="E884" s="7" t="n">
        <v>1810</v>
      </c>
      <c r="F884" s="7" t="n">
        <v>1538.5</v>
      </c>
      <c r="G884" s="7">
        <f>E884-F884</f>
        <v/>
      </c>
      <c r="H884" s="8">
        <f>IFERROR(F884/E884,0)</f>
        <v/>
      </c>
      <c r="I884" s="4">
        <f>IF(H884&gt;=1,"超预算",IF(H884&gt;=0.9,"预警","正常"))</f>
        <v/>
      </c>
      <c r="J884" s="4">
        <f>RANK(F884,$F$4:$F$1203,0)</f>
        <v/>
      </c>
      <c r="K884" s="4" t="inlineStr">
        <is>
          <t>待启动</t>
        </is>
      </c>
    </row>
    <row r="885">
      <c r="A885" s="4" t="n">
        <v>882</v>
      </c>
      <c r="B885" s="5" t="inlineStr">
        <is>
          <t>PJ-2026-0882</t>
        </is>
      </c>
      <c r="C885" s="6" t="inlineStr">
        <is>
          <t>解放路老旧小区改造项目（二期）</t>
        </is>
      </c>
      <c r="D885" s="4" t="inlineStr">
        <is>
          <t>王英</t>
        </is>
      </c>
      <c r="E885" s="7" t="n">
        <v>1947</v>
      </c>
      <c r="F885" s="7" t="n">
        <v>2219.58</v>
      </c>
      <c r="G885" s="7">
        <f>E885-F885</f>
        <v/>
      </c>
      <c r="H885" s="8">
        <f>IFERROR(F885/E885,0)</f>
        <v/>
      </c>
      <c r="I885" s="4">
        <f>IF(H885&gt;=1,"超预算",IF(H885&gt;=0.9,"预警","正常"))</f>
        <v/>
      </c>
      <c r="J885" s="4">
        <f>RANK(F885,$F$4:$F$1203,0)</f>
        <v/>
      </c>
      <c r="K885" s="4" t="inlineStr">
        <is>
          <t>完工</t>
        </is>
      </c>
    </row>
    <row r="886">
      <c r="A886" s="4" t="n">
        <v>883</v>
      </c>
      <c r="B886" s="5" t="inlineStr">
        <is>
          <t>PJ-2026-0883</t>
        </is>
      </c>
      <c r="C886" s="6" t="inlineStr">
        <is>
          <t>和平街智慧园区建设项目（三期）</t>
        </is>
      </c>
      <c r="D886" s="4" t="inlineStr">
        <is>
          <t>李强</t>
        </is>
      </c>
      <c r="E886" s="7" t="n">
        <v>2084</v>
      </c>
      <c r="F886" s="7" t="n">
        <v>1521.32</v>
      </c>
      <c r="G886" s="7">
        <f>E886-F886</f>
        <v/>
      </c>
      <c r="H886" s="8">
        <f>IFERROR(F886/E886,0)</f>
        <v/>
      </c>
      <c r="I886" s="4">
        <f>IF(H886&gt;=1,"超预算",IF(H886&gt;=0.9,"预警","正常"))</f>
        <v/>
      </c>
      <c r="J886" s="4">
        <f>RANK(F886,$F$4:$F$1203,0)</f>
        <v/>
      </c>
      <c r="K886" s="4" t="inlineStr">
        <is>
          <t>在建</t>
        </is>
      </c>
    </row>
    <row r="887">
      <c r="A887" s="4" t="n">
        <v>884</v>
      </c>
      <c r="B887" s="5" t="inlineStr">
        <is>
          <t>PJ-2026-0884</t>
        </is>
      </c>
      <c r="C887" s="6" t="inlineStr">
        <is>
          <t>光明街污水处理扩容工程（四期）</t>
        </is>
      </c>
      <c r="D887" s="4" t="inlineStr">
        <is>
          <t>赵娟</t>
        </is>
      </c>
      <c r="E887" s="7" t="n">
        <v>2221</v>
      </c>
      <c r="F887" s="7" t="n">
        <v>2265.42</v>
      </c>
      <c r="G887" s="7">
        <f>E887-F887</f>
        <v/>
      </c>
      <c r="H887" s="8">
        <f>IFERROR(F887/E887,0)</f>
        <v/>
      </c>
      <c r="I887" s="4">
        <f>IF(H887&gt;=1,"超预算",IF(H887&gt;=0.9,"预警","正常"))</f>
        <v/>
      </c>
      <c r="J887" s="4">
        <f>RANK(F887,$F$4:$F$1203,0)</f>
        <v/>
      </c>
      <c r="K887" s="4" t="inlineStr">
        <is>
          <t>待启动</t>
        </is>
      </c>
    </row>
    <row r="888">
      <c r="A888" s="4" t="n">
        <v>885</v>
      </c>
      <c r="B888" s="5" t="inlineStr">
        <is>
          <t>PJ-2026-0885</t>
        </is>
      </c>
      <c r="C888" s="6" t="inlineStr">
        <is>
          <t>城东路供水管网更新工程</t>
        </is>
      </c>
      <c r="D888" s="4" t="inlineStr">
        <is>
          <t>刘平</t>
        </is>
      </c>
      <c r="E888" s="7" t="n">
        <v>2358</v>
      </c>
      <c r="F888" s="7" t="n">
        <v>1438.38</v>
      </c>
      <c r="G888" s="7">
        <f>E888-F888</f>
        <v/>
      </c>
      <c r="H888" s="8">
        <f>IFERROR(F888/E888,0)</f>
        <v/>
      </c>
      <c r="I888" s="4">
        <f>IF(H888&gt;=1,"超预算",IF(H888&gt;=0.9,"预警","正常"))</f>
        <v/>
      </c>
      <c r="J888" s="4">
        <f>RANK(F888,$F$4:$F$1203,0)</f>
        <v/>
      </c>
      <c r="K888" s="4" t="inlineStr">
        <is>
          <t>完工</t>
        </is>
      </c>
    </row>
    <row r="889">
      <c r="A889" s="4" t="n">
        <v>886</v>
      </c>
      <c r="B889" s="5" t="inlineStr">
        <is>
          <t>PJ-2026-0886</t>
        </is>
      </c>
      <c r="C889" s="6" t="inlineStr">
        <is>
          <t>解放路河道综合整治工程（二期）</t>
        </is>
      </c>
      <c r="D889" s="4" t="inlineStr">
        <is>
          <t>陈敏</t>
        </is>
      </c>
      <c r="E889" s="7" t="n">
        <v>2495</v>
      </c>
      <c r="F889" s="7" t="n">
        <v>2245.5</v>
      </c>
      <c r="G889" s="7">
        <f>E889-F889</f>
        <v/>
      </c>
      <c r="H889" s="8">
        <f>IFERROR(F889/E889,0)</f>
        <v/>
      </c>
      <c r="I889" s="4">
        <f>IF(H889&gt;=1,"超预算",IF(H889&gt;=0.9,"预警","正常"))</f>
        <v/>
      </c>
      <c r="J889" s="4">
        <f>RANK(F889,$F$4:$F$1203,0)</f>
        <v/>
      </c>
      <c r="K889" s="4" t="inlineStr">
        <is>
          <t>在建</t>
        </is>
      </c>
    </row>
    <row r="890">
      <c r="A890" s="4" t="n">
        <v>887</v>
      </c>
      <c r="B890" s="5" t="inlineStr">
        <is>
          <t>PJ-2026-0887</t>
        </is>
      </c>
      <c r="C890" s="6" t="inlineStr">
        <is>
          <t>和平街学校新建工程（三期）</t>
        </is>
      </c>
      <c r="D890" s="4" t="inlineStr">
        <is>
          <t>杨勇</t>
        </is>
      </c>
      <c r="E890" s="7" t="n">
        <v>2632</v>
      </c>
      <c r="F890" s="7" t="n">
        <v>1289.68</v>
      </c>
      <c r="G890" s="7">
        <f>E890-F890</f>
        <v/>
      </c>
      <c r="H890" s="8">
        <f>IFERROR(F890/E890,0)</f>
        <v/>
      </c>
      <c r="I890" s="4">
        <f>IF(H890&gt;=1,"超预算",IF(H890&gt;=0.9,"预警","正常"))</f>
        <v/>
      </c>
      <c r="J890" s="4">
        <f>RANK(F890,$F$4:$F$1203,0)</f>
        <v/>
      </c>
      <c r="K890" s="4" t="inlineStr">
        <is>
          <t>待启动</t>
        </is>
      </c>
    </row>
    <row r="891">
      <c r="A891" s="4" t="n">
        <v>888</v>
      </c>
      <c r="B891" s="5" t="inlineStr">
        <is>
          <t>PJ-2026-0888</t>
        </is>
      </c>
      <c r="C891" s="6" t="inlineStr">
        <is>
          <t>光明街医院改扩建项目（四期）</t>
        </is>
      </c>
      <c r="D891" s="4" t="inlineStr">
        <is>
          <t>黄秀</t>
        </is>
      </c>
      <c r="E891" s="7" t="n">
        <v>2769</v>
      </c>
      <c r="F891" s="7" t="n">
        <v>2159.82</v>
      </c>
      <c r="G891" s="7">
        <f>E891-F891</f>
        <v/>
      </c>
      <c r="H891" s="8">
        <f>IFERROR(F891/E891,0)</f>
        <v/>
      </c>
      <c r="I891" s="4">
        <f>IF(H891&gt;=1,"超预算",IF(H891&gt;=0.9,"预警","正常"))</f>
        <v/>
      </c>
      <c r="J891" s="4">
        <f>RANK(F891,$F$4:$F$1203,0)</f>
        <v/>
      </c>
      <c r="K891" s="4" t="inlineStr">
        <is>
          <t>完工</t>
        </is>
      </c>
    </row>
    <row r="892">
      <c r="A892" s="4" t="n">
        <v>889</v>
      </c>
      <c r="B892" s="5" t="inlineStr">
        <is>
          <t>PJ-2026-0889</t>
        </is>
      </c>
      <c r="C892" s="6" t="inlineStr">
        <is>
          <t>城东路公交枢纽建设工程</t>
        </is>
      </c>
      <c r="D892" s="4" t="inlineStr">
        <is>
          <t>周伟</t>
        </is>
      </c>
      <c r="E892" s="7" t="n">
        <v>2906</v>
      </c>
      <c r="F892" s="7" t="n">
        <v>3109.42</v>
      </c>
      <c r="G892" s="7">
        <f>E892-F892</f>
        <v/>
      </c>
      <c r="H892" s="8">
        <f>IFERROR(F892/E892,0)</f>
        <v/>
      </c>
      <c r="I892" s="4">
        <f>IF(H892&gt;=1,"超预算",IF(H892&gt;=0.9,"预警","正常"))</f>
        <v/>
      </c>
      <c r="J892" s="4">
        <f>RANK(F892,$F$4:$F$1203,0)</f>
        <v/>
      </c>
      <c r="K892" s="4" t="inlineStr">
        <is>
          <t>在建</t>
        </is>
      </c>
    </row>
    <row r="893">
      <c r="A893" s="4" t="n">
        <v>890</v>
      </c>
      <c r="B893" s="5" t="inlineStr">
        <is>
          <t>PJ-2026-0890</t>
        </is>
      </c>
      <c r="C893" s="6" t="inlineStr">
        <is>
          <t>解放路公共停车场建设工程（二期）</t>
        </is>
      </c>
      <c r="D893" s="4" t="inlineStr">
        <is>
          <t>吴磊</t>
        </is>
      </c>
      <c r="E893" s="7" t="n">
        <v>3043</v>
      </c>
      <c r="F893" s="7" t="n">
        <v>2008.38</v>
      </c>
      <c r="G893" s="7">
        <f>E893-F893</f>
        <v/>
      </c>
      <c r="H893" s="8">
        <f>IFERROR(F893/E893,0)</f>
        <v/>
      </c>
      <c r="I893" s="4">
        <f>IF(H893&gt;=1,"超预算",IF(H893&gt;=0.9,"预警","正常"))</f>
        <v/>
      </c>
      <c r="J893" s="4">
        <f>RANK(F893,$F$4:$F$1203,0)</f>
        <v/>
      </c>
      <c r="K893" s="4" t="inlineStr">
        <is>
          <t>待启动</t>
        </is>
      </c>
    </row>
    <row r="894">
      <c r="A894" s="4" t="n">
        <v>891</v>
      </c>
      <c r="B894" s="5" t="inlineStr">
        <is>
          <t>PJ-2026-0891</t>
        </is>
      </c>
      <c r="C894" s="6" t="inlineStr">
        <is>
          <t>和平街道路改造工程（三期）</t>
        </is>
      </c>
      <c r="D894" s="4" t="inlineStr">
        <is>
          <t>徐涛</t>
        </is>
      </c>
      <c r="E894" s="7" t="n">
        <v>3180</v>
      </c>
      <c r="F894" s="7" t="n">
        <v>3021</v>
      </c>
      <c r="G894" s="7">
        <f>E894-F894</f>
        <v/>
      </c>
      <c r="H894" s="8">
        <f>IFERROR(F894/E894,0)</f>
        <v/>
      </c>
      <c r="I894" s="4">
        <f>IF(H894&gt;=1,"超预算",IF(H894&gt;=0.9,"预警","正常"))</f>
        <v/>
      </c>
      <c r="J894" s="4">
        <f>RANK(F894,$F$4:$F$1203,0)</f>
        <v/>
      </c>
      <c r="K894" s="4" t="inlineStr">
        <is>
          <t>完工</t>
        </is>
      </c>
    </row>
    <row r="895">
      <c r="A895" s="4" t="n">
        <v>892</v>
      </c>
      <c r="B895" s="5" t="inlineStr">
        <is>
          <t>PJ-2026-0892</t>
        </is>
      </c>
      <c r="C895" s="6" t="inlineStr">
        <is>
          <t>光明街老旧小区改造项目（四期）</t>
        </is>
      </c>
      <c r="D895" s="4" t="inlineStr">
        <is>
          <t>孙刚</t>
        </is>
      </c>
      <c r="E895" s="7" t="n">
        <v>3317</v>
      </c>
      <c r="F895" s="7" t="n">
        <v>1791.18</v>
      </c>
      <c r="G895" s="7">
        <f>E895-F895</f>
        <v/>
      </c>
      <c r="H895" s="8">
        <f>IFERROR(F895/E895,0)</f>
        <v/>
      </c>
      <c r="I895" s="4">
        <f>IF(H895&gt;=1,"超预算",IF(H895&gt;=0.9,"预警","正常"))</f>
        <v/>
      </c>
      <c r="J895" s="4">
        <f>RANK(F895,$F$4:$F$1203,0)</f>
        <v/>
      </c>
      <c r="K895" s="4" t="inlineStr">
        <is>
          <t>在建</t>
        </is>
      </c>
    </row>
    <row r="896">
      <c r="A896" s="4" t="n">
        <v>893</v>
      </c>
      <c r="B896" s="5" t="inlineStr">
        <is>
          <t>PJ-2026-0893</t>
        </is>
      </c>
      <c r="C896" s="6" t="inlineStr">
        <is>
          <t>城东路智慧园区建设项目</t>
        </is>
      </c>
      <c r="D896" s="4" t="inlineStr">
        <is>
          <t>马静</t>
        </is>
      </c>
      <c r="E896" s="7" t="n">
        <v>3454</v>
      </c>
      <c r="F896" s="7" t="n">
        <v>2866.82</v>
      </c>
      <c r="G896" s="7">
        <f>E896-F896</f>
        <v/>
      </c>
      <c r="H896" s="8">
        <f>IFERROR(F896/E896,0)</f>
        <v/>
      </c>
      <c r="I896" s="4">
        <f>IF(H896&gt;=1,"超预算",IF(H896&gt;=0.9,"预警","正常"))</f>
        <v/>
      </c>
      <c r="J896" s="4">
        <f>RANK(F896,$F$4:$F$1203,0)</f>
        <v/>
      </c>
      <c r="K896" s="4" t="inlineStr">
        <is>
          <t>待启动</t>
        </is>
      </c>
    </row>
    <row r="897">
      <c r="A897" s="4" t="n">
        <v>894</v>
      </c>
      <c r="B897" s="5" t="inlineStr">
        <is>
          <t>PJ-2026-0894</t>
        </is>
      </c>
      <c r="C897" s="6" t="inlineStr">
        <is>
          <t>解放路污水处理扩容工程（二期）</t>
        </is>
      </c>
      <c r="D897" s="4" t="inlineStr">
        <is>
          <t>朱艳</t>
        </is>
      </c>
      <c r="E897" s="7" t="n">
        <v>3591</v>
      </c>
      <c r="F897" s="7" t="n">
        <v>4021.92</v>
      </c>
      <c r="G897" s="7">
        <f>E897-F897</f>
        <v/>
      </c>
      <c r="H897" s="8">
        <f>IFERROR(F897/E897,0)</f>
        <v/>
      </c>
      <c r="I897" s="4">
        <f>IF(H897&gt;=1,"超预算",IF(H897&gt;=0.9,"预警","正常"))</f>
        <v/>
      </c>
      <c r="J897" s="4">
        <f>RANK(F897,$F$4:$F$1203,0)</f>
        <v/>
      </c>
      <c r="K897" s="4" t="inlineStr">
        <is>
          <t>完工</t>
        </is>
      </c>
    </row>
    <row r="898">
      <c r="A898" s="4" t="n">
        <v>895</v>
      </c>
      <c r="B898" s="5" t="inlineStr">
        <is>
          <t>PJ-2026-0895</t>
        </is>
      </c>
      <c r="C898" s="6" t="inlineStr">
        <is>
          <t>和平街供水管网更新工程（三期）</t>
        </is>
      </c>
      <c r="D898" s="4" t="inlineStr">
        <is>
          <t>胡英</t>
        </is>
      </c>
      <c r="E898" s="7" t="n">
        <v>3728</v>
      </c>
      <c r="F898" s="7" t="n">
        <v>2646.88</v>
      </c>
      <c r="G898" s="7">
        <f>E898-F898</f>
        <v/>
      </c>
      <c r="H898" s="8">
        <f>IFERROR(F898/E898,0)</f>
        <v/>
      </c>
      <c r="I898" s="4">
        <f>IF(H898&gt;=1,"超预算",IF(H898&gt;=0.9,"预警","正常"))</f>
        <v/>
      </c>
      <c r="J898" s="4">
        <f>RANK(F898,$F$4:$F$1203,0)</f>
        <v/>
      </c>
      <c r="K898" s="4" t="inlineStr">
        <is>
          <t>在建</t>
        </is>
      </c>
    </row>
    <row r="899">
      <c r="A899" s="4" t="n">
        <v>896</v>
      </c>
      <c r="B899" s="5" t="inlineStr">
        <is>
          <t>PJ-2026-0896</t>
        </is>
      </c>
      <c r="C899" s="6" t="inlineStr">
        <is>
          <t>光明街河道综合整治工程（四期）</t>
        </is>
      </c>
      <c r="D899" s="4" t="inlineStr">
        <is>
          <t>郭芳</t>
        </is>
      </c>
      <c r="E899" s="7" t="n">
        <v>3865</v>
      </c>
      <c r="F899" s="7" t="n">
        <v>3865</v>
      </c>
      <c r="G899" s="7">
        <f>E899-F899</f>
        <v/>
      </c>
      <c r="H899" s="8">
        <f>IFERROR(F899/E899,0)</f>
        <v/>
      </c>
      <c r="I899" s="4">
        <f>IF(H899&gt;=1,"超预算",IF(H899&gt;=0.9,"预警","正常"))</f>
        <v/>
      </c>
      <c r="J899" s="4">
        <f>RANK(F899,$F$4:$F$1203,0)</f>
        <v/>
      </c>
      <c r="K899" s="4" t="inlineStr">
        <is>
          <t>待启动</t>
        </is>
      </c>
    </row>
    <row r="900">
      <c r="A900" s="4" t="n">
        <v>897</v>
      </c>
      <c r="B900" s="5" t="inlineStr">
        <is>
          <t>PJ-2026-0897</t>
        </is>
      </c>
      <c r="C900" s="6" t="inlineStr">
        <is>
          <t>城东路学校新建工程</t>
        </is>
      </c>
      <c r="D900" s="4" t="inlineStr">
        <is>
          <t>何军</t>
        </is>
      </c>
      <c r="E900" s="7" t="n">
        <v>4002</v>
      </c>
      <c r="F900" s="7" t="n">
        <v>2361.18</v>
      </c>
      <c r="G900" s="7">
        <f>E900-F900</f>
        <v/>
      </c>
      <c r="H900" s="8">
        <f>IFERROR(F900/E900,0)</f>
        <v/>
      </c>
      <c r="I900" s="4">
        <f>IF(H900&gt;=1,"超预算",IF(H900&gt;=0.9,"预警","正常"))</f>
        <v/>
      </c>
      <c r="J900" s="4">
        <f>RANK(F900,$F$4:$F$1203,0)</f>
        <v/>
      </c>
      <c r="K900" s="4" t="inlineStr">
        <is>
          <t>完工</t>
        </is>
      </c>
    </row>
    <row r="901">
      <c r="A901" s="4" t="n">
        <v>898</v>
      </c>
      <c r="B901" s="5" t="inlineStr">
        <is>
          <t>PJ-2026-0898</t>
        </is>
      </c>
      <c r="C901" s="6" t="inlineStr">
        <is>
          <t>解放路医院改扩建项目（二期）</t>
        </is>
      </c>
      <c r="D901" s="4" t="inlineStr">
        <is>
          <t>高明</t>
        </is>
      </c>
      <c r="E901" s="7" t="n">
        <v>4139</v>
      </c>
      <c r="F901" s="7" t="n">
        <v>3642.32</v>
      </c>
      <c r="G901" s="7">
        <f>E901-F901</f>
        <v/>
      </c>
      <c r="H901" s="8">
        <f>IFERROR(F901/E901,0)</f>
        <v/>
      </c>
      <c r="I901" s="4">
        <f>IF(H901&gt;=1,"超预算",IF(H901&gt;=0.9,"预警","正常"))</f>
        <v/>
      </c>
      <c r="J901" s="4">
        <f>RANK(F901,$F$4:$F$1203,0)</f>
        <v/>
      </c>
      <c r="K901" s="4" t="inlineStr">
        <is>
          <t>在建</t>
        </is>
      </c>
    </row>
    <row r="902">
      <c r="A902" s="4" t="n">
        <v>899</v>
      </c>
      <c r="B902" s="5" t="inlineStr">
        <is>
          <t>PJ-2026-0899</t>
        </is>
      </c>
      <c r="C902" s="6" t="inlineStr">
        <is>
          <t>和平街公交枢纽建设工程（三期）</t>
        </is>
      </c>
      <c r="D902" s="4" t="inlineStr">
        <is>
          <t>林桂</t>
        </is>
      </c>
      <c r="E902" s="7" t="n">
        <v>4276</v>
      </c>
      <c r="F902" s="7" t="n">
        <v>2009.72</v>
      </c>
      <c r="G902" s="7">
        <f>E902-F902</f>
        <v/>
      </c>
      <c r="H902" s="8">
        <f>IFERROR(F902/E902,0)</f>
        <v/>
      </c>
      <c r="I902" s="4">
        <f>IF(H902&gt;=1,"超预算",IF(H902&gt;=0.9,"预警","正常"))</f>
        <v/>
      </c>
      <c r="J902" s="4">
        <f>RANK(F902,$F$4:$F$1203,0)</f>
        <v/>
      </c>
      <c r="K902" s="4" t="inlineStr">
        <is>
          <t>待启动</t>
        </is>
      </c>
    </row>
    <row r="903">
      <c r="A903" s="4" t="n">
        <v>900</v>
      </c>
      <c r="B903" s="5" t="inlineStr">
        <is>
          <t>PJ-2026-0900</t>
        </is>
      </c>
      <c r="C903" s="6" t="inlineStr">
        <is>
          <t>光明街公共停车场建设工程（四期）</t>
        </is>
      </c>
      <c r="D903" s="4" t="inlineStr">
        <is>
          <t>罗丽</t>
        </is>
      </c>
      <c r="E903" s="7" t="n">
        <v>4413</v>
      </c>
      <c r="F903" s="7" t="n">
        <v>3353.88</v>
      </c>
      <c r="G903" s="7">
        <f>E903-F903</f>
        <v/>
      </c>
      <c r="H903" s="8">
        <f>IFERROR(F903/E903,0)</f>
        <v/>
      </c>
      <c r="I903" s="4">
        <f>IF(H903&gt;=1,"超预算",IF(H903&gt;=0.9,"预警","正常"))</f>
        <v/>
      </c>
      <c r="J903" s="4">
        <f>RANK(F903,$F$4:$F$1203,0)</f>
        <v/>
      </c>
      <c r="K903" s="4" t="inlineStr">
        <is>
          <t>完工</t>
        </is>
      </c>
    </row>
    <row r="904">
      <c r="A904" s="4" t="n">
        <v>901</v>
      </c>
      <c r="B904" s="5" t="inlineStr">
        <is>
          <t>PJ-2026-0901</t>
        </is>
      </c>
      <c r="C904" s="6" t="inlineStr">
        <is>
          <t>城东路道路改造工程</t>
        </is>
      </c>
      <c r="D904" s="4" t="inlineStr">
        <is>
          <t>张杰</t>
        </is>
      </c>
      <c r="E904" s="7" t="n">
        <v>4550</v>
      </c>
      <c r="F904" s="7" t="n">
        <v>4777.5</v>
      </c>
      <c r="G904" s="7">
        <f>E904-F904</f>
        <v/>
      </c>
      <c r="H904" s="8">
        <f>IFERROR(F904/E904,0)</f>
        <v/>
      </c>
      <c r="I904" s="4">
        <f>IF(H904&gt;=1,"超预算",IF(H904&gt;=0.9,"预警","正常"))</f>
        <v/>
      </c>
      <c r="J904" s="4">
        <f>RANK(F904,$F$4:$F$1203,0)</f>
        <v/>
      </c>
      <c r="K904" s="4" t="inlineStr">
        <is>
          <t>在建</t>
        </is>
      </c>
    </row>
    <row r="905">
      <c r="A905" s="4" t="n">
        <v>902</v>
      </c>
      <c r="B905" s="5" t="inlineStr">
        <is>
          <t>PJ-2026-0902</t>
        </is>
      </c>
      <c r="C905" s="6" t="inlineStr">
        <is>
          <t>解放路老旧小区改造项目（二期）</t>
        </is>
      </c>
      <c r="D905" s="4" t="inlineStr">
        <is>
          <t>王霞</t>
        </is>
      </c>
      <c r="E905" s="7" t="n">
        <v>4687</v>
      </c>
      <c r="F905" s="7" t="n">
        <v>2999.68</v>
      </c>
      <c r="G905" s="7">
        <f>E905-F905</f>
        <v/>
      </c>
      <c r="H905" s="8">
        <f>IFERROR(F905/E905,0)</f>
        <v/>
      </c>
      <c r="I905" s="4">
        <f>IF(H905&gt;=1,"超预算",IF(H905&gt;=0.9,"预警","正常"))</f>
        <v/>
      </c>
      <c r="J905" s="4">
        <f>RANK(F905,$F$4:$F$1203,0)</f>
        <v/>
      </c>
      <c r="K905" s="4" t="inlineStr">
        <is>
          <t>待启动</t>
        </is>
      </c>
    </row>
    <row r="906">
      <c r="A906" s="4" t="n">
        <v>903</v>
      </c>
      <c r="B906" s="5" t="inlineStr">
        <is>
          <t>PJ-2026-0903</t>
        </is>
      </c>
      <c r="C906" s="6" t="inlineStr">
        <is>
          <t>和平街智慧园区建设项目（三期）</t>
        </is>
      </c>
      <c r="D906" s="4" t="inlineStr">
        <is>
          <t>李娜</t>
        </is>
      </c>
      <c r="E906" s="7" t="n">
        <v>4824</v>
      </c>
      <c r="F906" s="7" t="n">
        <v>4486.32</v>
      </c>
      <c r="G906" s="7">
        <f>E906-F906</f>
        <v/>
      </c>
      <c r="H906" s="8">
        <f>IFERROR(F906/E906,0)</f>
        <v/>
      </c>
      <c r="I906" s="4">
        <f>IF(H906&gt;=1,"超预算",IF(H906&gt;=0.9,"预警","正常"))</f>
        <v/>
      </c>
      <c r="J906" s="4">
        <f>RANK(F906,$F$4:$F$1203,0)</f>
        <v/>
      </c>
      <c r="K906" s="4" t="inlineStr">
        <is>
          <t>完工</t>
        </is>
      </c>
    </row>
    <row r="907">
      <c r="A907" s="4" t="n">
        <v>904</v>
      </c>
      <c r="B907" s="5" t="inlineStr">
        <is>
          <t>PJ-2026-0904</t>
        </is>
      </c>
      <c r="C907" s="6" t="inlineStr">
        <is>
          <t>光明街污水处理扩容工程（四期）</t>
        </is>
      </c>
      <c r="D907" s="4" t="inlineStr">
        <is>
          <t>赵洋</t>
        </is>
      </c>
      <c r="E907" s="7" t="n">
        <v>4961</v>
      </c>
      <c r="F907" s="7" t="n">
        <v>2579.72</v>
      </c>
      <c r="G907" s="7">
        <f>E907-F907</f>
        <v/>
      </c>
      <c r="H907" s="8">
        <f>IFERROR(F907/E907,0)</f>
        <v/>
      </c>
      <c r="I907" s="4">
        <f>IF(H907&gt;=1,"超预算",IF(H907&gt;=0.9,"预警","正常"))</f>
        <v/>
      </c>
      <c r="J907" s="4">
        <f>RANK(F907,$F$4:$F$1203,0)</f>
        <v/>
      </c>
      <c r="K907" s="4" t="inlineStr">
        <is>
          <t>在建</t>
        </is>
      </c>
    </row>
    <row r="908">
      <c r="A908" s="4" t="n">
        <v>905</v>
      </c>
      <c r="B908" s="5" t="inlineStr">
        <is>
          <t>PJ-2026-0905</t>
        </is>
      </c>
      <c r="C908" s="6" t="inlineStr">
        <is>
          <t>城东路供水管网更新工程</t>
        </is>
      </c>
      <c r="D908" s="4" t="inlineStr">
        <is>
          <t>刘超</t>
        </is>
      </c>
      <c r="E908" s="7" t="n">
        <v>148</v>
      </c>
      <c r="F908" s="7" t="n">
        <v>119.88</v>
      </c>
      <c r="G908" s="7">
        <f>E908-F908</f>
        <v/>
      </c>
      <c r="H908" s="8">
        <f>IFERROR(F908/E908,0)</f>
        <v/>
      </c>
      <c r="I908" s="4">
        <f>IF(H908&gt;=1,"超预算",IF(H908&gt;=0.9,"预警","正常"))</f>
        <v/>
      </c>
      <c r="J908" s="4">
        <f>RANK(F908,$F$4:$F$1203,0)</f>
        <v/>
      </c>
      <c r="K908" s="4" t="inlineStr">
        <is>
          <t>待启动</t>
        </is>
      </c>
    </row>
    <row r="909">
      <c r="A909" s="4" t="n">
        <v>906</v>
      </c>
      <c r="B909" s="5" t="inlineStr">
        <is>
          <t>PJ-2026-0906</t>
        </is>
      </c>
      <c r="C909" s="6" t="inlineStr">
        <is>
          <t>解放路河道综合整治工程（二期）</t>
        </is>
      </c>
      <c r="D909" s="4" t="inlineStr">
        <is>
          <t>陈英</t>
        </is>
      </c>
      <c r="E909" s="7" t="n">
        <v>285</v>
      </c>
      <c r="F909" s="7" t="n">
        <v>313.5</v>
      </c>
      <c r="G909" s="7">
        <f>E909-F909</f>
        <v/>
      </c>
      <c r="H909" s="8">
        <f>IFERROR(F909/E909,0)</f>
        <v/>
      </c>
      <c r="I909" s="4">
        <f>IF(H909&gt;=1,"超预算",IF(H909&gt;=0.9,"预警","正常"))</f>
        <v/>
      </c>
      <c r="J909" s="4">
        <f>RANK(F909,$F$4:$F$1203,0)</f>
        <v/>
      </c>
      <c r="K909" s="4" t="inlineStr">
        <is>
          <t>完工</t>
        </is>
      </c>
    </row>
    <row r="910">
      <c r="A910" s="4" t="n">
        <v>907</v>
      </c>
      <c r="B910" s="5" t="inlineStr">
        <is>
          <t>PJ-2026-0907</t>
        </is>
      </c>
      <c r="C910" s="6" t="inlineStr">
        <is>
          <t>和平街学校新建工程（三期）</t>
        </is>
      </c>
      <c r="D910" s="4" t="inlineStr">
        <is>
          <t>杨强</t>
        </is>
      </c>
      <c r="E910" s="7" t="n">
        <v>422</v>
      </c>
      <c r="F910" s="7" t="n">
        <v>291.18</v>
      </c>
      <c r="G910" s="7">
        <f>E910-F910</f>
        <v/>
      </c>
      <c r="H910" s="8">
        <f>IFERROR(F910/E910,0)</f>
        <v/>
      </c>
      <c r="I910" s="4">
        <f>IF(H910&gt;=1,"超预算",IF(H910&gt;=0.9,"预警","正常"))</f>
        <v/>
      </c>
      <c r="J910" s="4">
        <f>RANK(F910,$F$4:$F$1203,0)</f>
        <v/>
      </c>
      <c r="K910" s="4" t="inlineStr">
        <is>
          <t>在建</t>
        </is>
      </c>
    </row>
    <row r="911">
      <c r="A911" s="4" t="n">
        <v>908</v>
      </c>
      <c r="B911" s="5" t="inlineStr">
        <is>
          <t>PJ-2026-0908</t>
        </is>
      </c>
      <c r="C911" s="6" t="inlineStr">
        <is>
          <t>光明街医院改扩建项目（四期）</t>
        </is>
      </c>
      <c r="D911" s="4" t="inlineStr">
        <is>
          <t>黄娟</t>
        </is>
      </c>
      <c r="E911" s="7" t="n">
        <v>559</v>
      </c>
      <c r="F911" s="7" t="n">
        <v>547.8200000000001</v>
      </c>
      <c r="G911" s="7">
        <f>E911-F911</f>
        <v/>
      </c>
      <c r="H911" s="8">
        <f>IFERROR(F911/E911,0)</f>
        <v/>
      </c>
      <c r="I911" s="4">
        <f>IF(H911&gt;=1,"超预算",IF(H911&gt;=0.9,"预警","正常"))</f>
        <v/>
      </c>
      <c r="J911" s="4">
        <f>RANK(F911,$F$4:$F$1203,0)</f>
        <v/>
      </c>
      <c r="K911" s="4" t="inlineStr">
        <is>
          <t>待启动</t>
        </is>
      </c>
    </row>
    <row r="912">
      <c r="A912" s="4" t="n">
        <v>909</v>
      </c>
      <c r="B912" s="5" t="inlineStr">
        <is>
          <t>PJ-2026-0909</t>
        </is>
      </c>
      <c r="C912" s="6" t="inlineStr">
        <is>
          <t>城东路公交枢纽建设工程</t>
        </is>
      </c>
      <c r="D912" s="4" t="inlineStr">
        <is>
          <t>周平</t>
        </is>
      </c>
      <c r="E912" s="7" t="n">
        <v>696</v>
      </c>
      <c r="F912" s="7" t="n">
        <v>396.72</v>
      </c>
      <c r="G912" s="7">
        <f>E912-F912</f>
        <v/>
      </c>
      <c r="H912" s="8">
        <f>IFERROR(F912/E912,0)</f>
        <v/>
      </c>
      <c r="I912" s="4">
        <f>IF(H912&gt;=1,"超预算",IF(H912&gt;=0.9,"预警","正常"))</f>
        <v/>
      </c>
      <c r="J912" s="4">
        <f>RANK(F912,$F$4:$F$1203,0)</f>
        <v/>
      </c>
      <c r="K912" s="4" t="inlineStr">
        <is>
          <t>完工</t>
        </is>
      </c>
    </row>
    <row r="913">
      <c r="A913" s="4" t="n">
        <v>910</v>
      </c>
      <c r="B913" s="5" t="inlineStr">
        <is>
          <t>PJ-2026-0910</t>
        </is>
      </c>
      <c r="C913" s="6" t="inlineStr">
        <is>
          <t>解放路公共停车场建设工程（二期）</t>
        </is>
      </c>
      <c r="D913" s="4" t="inlineStr">
        <is>
          <t>吴敏</t>
        </is>
      </c>
      <c r="E913" s="7" t="n">
        <v>833</v>
      </c>
      <c r="F913" s="7" t="n">
        <v>716.38</v>
      </c>
      <c r="G913" s="7">
        <f>E913-F913</f>
        <v/>
      </c>
      <c r="H913" s="8">
        <f>IFERROR(F913/E913,0)</f>
        <v/>
      </c>
      <c r="I913" s="4">
        <f>IF(H913&gt;=1,"超预算",IF(H913&gt;=0.9,"预警","正常"))</f>
        <v/>
      </c>
      <c r="J913" s="4">
        <f>RANK(F913,$F$4:$F$1203,0)</f>
        <v/>
      </c>
      <c r="K913" s="4" t="inlineStr">
        <is>
          <t>在建</t>
        </is>
      </c>
    </row>
    <row r="914">
      <c r="A914" s="4" t="n">
        <v>911</v>
      </c>
      <c r="B914" s="5" t="inlineStr">
        <is>
          <t>PJ-2026-0911</t>
        </is>
      </c>
      <c r="C914" s="6" t="inlineStr">
        <is>
          <t>和平街道路改造工程（三期）</t>
        </is>
      </c>
      <c r="D914" s="4" t="inlineStr">
        <is>
          <t>徐勇</t>
        </is>
      </c>
      <c r="E914" s="7" t="n">
        <v>970</v>
      </c>
      <c r="F914" s="7" t="n">
        <v>436.5</v>
      </c>
      <c r="G914" s="7">
        <f>E914-F914</f>
        <v/>
      </c>
      <c r="H914" s="8">
        <f>IFERROR(F914/E914,0)</f>
        <v/>
      </c>
      <c r="I914" s="4">
        <f>IF(H914&gt;=1,"超预算",IF(H914&gt;=0.9,"预警","正常"))</f>
        <v/>
      </c>
      <c r="J914" s="4">
        <f>RANK(F914,$F$4:$F$1203,0)</f>
        <v/>
      </c>
      <c r="K914" s="4" t="inlineStr">
        <is>
          <t>待启动</t>
        </is>
      </c>
    </row>
    <row r="915">
      <c r="A915" s="4" t="n">
        <v>912</v>
      </c>
      <c r="B915" s="5" t="inlineStr">
        <is>
          <t>PJ-2026-0912</t>
        </is>
      </c>
      <c r="C915" s="6" t="inlineStr">
        <is>
          <t>光明街老旧小区改造项目（四期）</t>
        </is>
      </c>
      <c r="D915" s="4" t="inlineStr">
        <is>
          <t>孙秀</t>
        </is>
      </c>
      <c r="E915" s="7" t="n">
        <v>1107</v>
      </c>
      <c r="F915" s="7" t="n">
        <v>819.1799999999999</v>
      </c>
      <c r="G915" s="7">
        <f>E915-F915</f>
        <v/>
      </c>
      <c r="H915" s="8">
        <f>IFERROR(F915/E915,0)</f>
        <v/>
      </c>
      <c r="I915" s="4">
        <f>IF(H915&gt;=1,"超预算",IF(H915&gt;=0.9,"预警","正常"))</f>
        <v/>
      </c>
      <c r="J915" s="4">
        <f>RANK(F915,$F$4:$F$1203,0)</f>
        <v/>
      </c>
      <c r="K915" s="4" t="inlineStr">
        <is>
          <t>完工</t>
        </is>
      </c>
    </row>
    <row r="916">
      <c r="A916" s="4" t="n">
        <v>913</v>
      </c>
      <c r="B916" s="5" t="inlineStr">
        <is>
          <t>PJ-2026-0913</t>
        </is>
      </c>
      <c r="C916" s="6" t="inlineStr">
        <is>
          <t>城东路智慧园区建设项目</t>
        </is>
      </c>
      <c r="D916" s="4" t="inlineStr">
        <is>
          <t>马伟</t>
        </is>
      </c>
      <c r="E916" s="7" t="n">
        <v>1244</v>
      </c>
      <c r="F916" s="7" t="n">
        <v>1281.32</v>
      </c>
      <c r="G916" s="7">
        <f>E916-F916</f>
        <v/>
      </c>
      <c r="H916" s="8">
        <f>IFERROR(F916/E916,0)</f>
        <v/>
      </c>
      <c r="I916" s="4">
        <f>IF(H916&gt;=1,"超预算",IF(H916&gt;=0.9,"预警","正常"))</f>
        <v/>
      </c>
      <c r="J916" s="4">
        <f>RANK(F916,$F$4:$F$1203,0)</f>
        <v/>
      </c>
      <c r="K916" s="4" t="inlineStr">
        <is>
          <t>在建</t>
        </is>
      </c>
    </row>
    <row r="917">
      <c r="A917" s="4" t="n">
        <v>914</v>
      </c>
      <c r="B917" s="5" t="inlineStr">
        <is>
          <t>PJ-2026-0914</t>
        </is>
      </c>
      <c r="C917" s="6" t="inlineStr">
        <is>
          <t>解放路污水处理扩容工程（二期）</t>
        </is>
      </c>
      <c r="D917" s="4" t="inlineStr">
        <is>
          <t>朱磊</t>
        </is>
      </c>
      <c r="E917" s="7" t="n">
        <v>1381</v>
      </c>
      <c r="F917" s="7" t="n">
        <v>856.22</v>
      </c>
      <c r="G917" s="7">
        <f>E917-F917</f>
        <v/>
      </c>
      <c r="H917" s="8">
        <f>IFERROR(F917/E917,0)</f>
        <v/>
      </c>
      <c r="I917" s="4">
        <f>IF(H917&gt;=1,"超预算",IF(H917&gt;=0.9,"预警","正常"))</f>
        <v/>
      </c>
      <c r="J917" s="4">
        <f>RANK(F917,$F$4:$F$1203,0)</f>
        <v/>
      </c>
      <c r="K917" s="4" t="inlineStr">
        <is>
          <t>待启动</t>
        </is>
      </c>
    </row>
    <row r="918">
      <c r="A918" s="4" t="n">
        <v>915</v>
      </c>
      <c r="B918" s="5" t="inlineStr">
        <is>
          <t>PJ-2026-0915</t>
        </is>
      </c>
      <c r="C918" s="6" t="inlineStr">
        <is>
          <t>和平街供水管网更新工程（三期）</t>
        </is>
      </c>
      <c r="D918" s="4" t="inlineStr">
        <is>
          <t>胡涛</t>
        </is>
      </c>
      <c r="E918" s="7" t="n">
        <v>1518</v>
      </c>
      <c r="F918" s="7" t="n">
        <v>1381.38</v>
      </c>
      <c r="G918" s="7">
        <f>E918-F918</f>
        <v/>
      </c>
      <c r="H918" s="8">
        <f>IFERROR(F918/E918,0)</f>
        <v/>
      </c>
      <c r="I918" s="4">
        <f>IF(H918&gt;=1,"超预算",IF(H918&gt;=0.9,"预警","正常"))</f>
        <v/>
      </c>
      <c r="J918" s="4">
        <f>RANK(F918,$F$4:$F$1203,0)</f>
        <v/>
      </c>
      <c r="K918" s="4" t="inlineStr">
        <is>
          <t>完工</t>
        </is>
      </c>
    </row>
    <row r="919">
      <c r="A919" s="4" t="n">
        <v>916</v>
      </c>
      <c r="B919" s="5" t="inlineStr">
        <is>
          <t>PJ-2026-0916</t>
        </is>
      </c>
      <c r="C919" s="6" t="inlineStr">
        <is>
          <t>光明街河道综合整治工程（四期）</t>
        </is>
      </c>
      <c r="D919" s="4" t="inlineStr">
        <is>
          <t>郭刚</t>
        </is>
      </c>
      <c r="E919" s="7" t="n">
        <v>1655</v>
      </c>
      <c r="F919" s="7" t="n">
        <v>827.5</v>
      </c>
      <c r="G919" s="7">
        <f>E919-F919</f>
        <v/>
      </c>
      <c r="H919" s="8">
        <f>IFERROR(F919/E919,0)</f>
        <v/>
      </c>
      <c r="I919" s="4">
        <f>IF(H919&gt;=1,"超预算",IF(H919&gt;=0.9,"预警","正常"))</f>
        <v/>
      </c>
      <c r="J919" s="4">
        <f>RANK(F919,$F$4:$F$1203,0)</f>
        <v/>
      </c>
      <c r="K919" s="4" t="inlineStr">
        <is>
          <t>在建</t>
        </is>
      </c>
    </row>
    <row r="920">
      <c r="A920" s="4" t="n">
        <v>917</v>
      </c>
      <c r="B920" s="5" t="inlineStr">
        <is>
          <t>PJ-2026-0917</t>
        </is>
      </c>
      <c r="C920" s="6" t="inlineStr">
        <is>
          <t>城东路学校新建工程</t>
        </is>
      </c>
      <c r="D920" s="4" t="inlineStr">
        <is>
          <t>何静</t>
        </is>
      </c>
      <c r="E920" s="7" t="n">
        <v>1792</v>
      </c>
      <c r="F920" s="7" t="n">
        <v>1415.68</v>
      </c>
      <c r="G920" s="7">
        <f>E920-F920</f>
        <v/>
      </c>
      <c r="H920" s="8">
        <f>IFERROR(F920/E920,0)</f>
        <v/>
      </c>
      <c r="I920" s="4">
        <f>IF(H920&gt;=1,"超预算",IF(H920&gt;=0.9,"预警","正常"))</f>
        <v/>
      </c>
      <c r="J920" s="4">
        <f>RANK(F920,$F$4:$F$1203,0)</f>
        <v/>
      </c>
      <c r="K920" s="4" t="inlineStr">
        <is>
          <t>待启动</t>
        </is>
      </c>
    </row>
    <row r="921">
      <c r="A921" s="4" t="n">
        <v>918</v>
      </c>
      <c r="B921" s="5" t="inlineStr">
        <is>
          <t>PJ-2026-0918</t>
        </is>
      </c>
      <c r="C921" s="6" t="inlineStr">
        <is>
          <t>解放路医院改扩建项目（二期）</t>
        </is>
      </c>
      <c r="D921" s="4" t="inlineStr">
        <is>
          <t>高艳</t>
        </is>
      </c>
      <c r="E921" s="7" t="n">
        <v>1929</v>
      </c>
      <c r="F921" s="7" t="n">
        <v>2083.32</v>
      </c>
      <c r="G921" s="7">
        <f>E921-F921</f>
        <v/>
      </c>
      <c r="H921" s="8">
        <f>IFERROR(F921/E921,0)</f>
        <v/>
      </c>
      <c r="I921" s="4">
        <f>IF(H921&gt;=1,"超预算",IF(H921&gt;=0.9,"预警","正常"))</f>
        <v/>
      </c>
      <c r="J921" s="4">
        <f>RANK(F921,$F$4:$F$1203,0)</f>
        <v/>
      </c>
      <c r="K921" s="4" t="inlineStr">
        <is>
          <t>完工</t>
        </is>
      </c>
    </row>
    <row r="922">
      <c r="A922" s="4" t="n">
        <v>919</v>
      </c>
      <c r="B922" s="5" t="inlineStr">
        <is>
          <t>PJ-2026-0919</t>
        </is>
      </c>
      <c r="C922" s="6" t="inlineStr">
        <is>
          <t>和平街公交枢纽建设工程（三期）</t>
        </is>
      </c>
      <c r="D922" s="4" t="inlineStr">
        <is>
          <t>林英</t>
        </is>
      </c>
      <c r="E922" s="7" t="n">
        <v>2066</v>
      </c>
      <c r="F922" s="7" t="n">
        <v>1384.22</v>
      </c>
      <c r="G922" s="7">
        <f>E922-F922</f>
        <v/>
      </c>
      <c r="H922" s="8">
        <f>IFERROR(F922/E922,0)</f>
        <v/>
      </c>
      <c r="I922" s="4">
        <f>IF(H922&gt;=1,"超预算",IF(H922&gt;=0.9,"预警","正常"))</f>
        <v/>
      </c>
      <c r="J922" s="4">
        <f>RANK(F922,$F$4:$F$1203,0)</f>
        <v/>
      </c>
      <c r="K922" s="4" t="inlineStr">
        <is>
          <t>在建</t>
        </is>
      </c>
    </row>
    <row r="923">
      <c r="A923" s="4" t="n">
        <v>920</v>
      </c>
      <c r="B923" s="5" t="inlineStr">
        <is>
          <t>PJ-2026-0920</t>
        </is>
      </c>
      <c r="C923" s="6" t="inlineStr">
        <is>
          <t>光明街公共停车场建设工程（四期）</t>
        </is>
      </c>
      <c r="D923" s="4" t="inlineStr">
        <is>
          <t>罗芳</t>
        </is>
      </c>
      <c r="E923" s="7" t="n">
        <v>2203</v>
      </c>
      <c r="F923" s="7" t="n">
        <v>2114.88</v>
      </c>
      <c r="G923" s="7">
        <f>E923-F923</f>
        <v/>
      </c>
      <c r="H923" s="8">
        <f>IFERROR(F923/E923,0)</f>
        <v/>
      </c>
      <c r="I923" s="4">
        <f>IF(H923&gt;=1,"超预算",IF(H923&gt;=0.9,"预警","正常"))</f>
        <v/>
      </c>
      <c r="J923" s="4">
        <f>RANK(F923,$F$4:$F$1203,0)</f>
        <v/>
      </c>
      <c r="K923" s="4" t="inlineStr">
        <is>
          <t>待启动</t>
        </is>
      </c>
    </row>
    <row r="924">
      <c r="A924" s="4" t="n">
        <v>921</v>
      </c>
      <c r="B924" s="5" t="inlineStr">
        <is>
          <t>PJ-2026-0921</t>
        </is>
      </c>
      <c r="C924" s="6" t="inlineStr">
        <is>
          <t>城东路道路改造工程</t>
        </is>
      </c>
      <c r="D924" s="4" t="inlineStr">
        <is>
          <t>张军</t>
        </is>
      </c>
      <c r="E924" s="7" t="n">
        <v>2340</v>
      </c>
      <c r="F924" s="7" t="n">
        <v>1287</v>
      </c>
      <c r="G924" s="7">
        <f>E924-F924</f>
        <v/>
      </c>
      <c r="H924" s="8">
        <f>IFERROR(F924/E924,0)</f>
        <v/>
      </c>
      <c r="I924" s="4">
        <f>IF(H924&gt;=1,"超预算",IF(H924&gt;=0.9,"预警","正常"))</f>
        <v/>
      </c>
      <c r="J924" s="4">
        <f>RANK(F924,$F$4:$F$1203,0)</f>
        <v/>
      </c>
      <c r="K924" s="4" t="inlineStr">
        <is>
          <t>完工</t>
        </is>
      </c>
    </row>
    <row r="925">
      <c r="A925" s="4" t="n">
        <v>922</v>
      </c>
      <c r="B925" s="5" t="inlineStr">
        <is>
          <t>PJ-2026-0922</t>
        </is>
      </c>
      <c r="C925" s="6" t="inlineStr">
        <is>
          <t>解放路老旧小区改造项目（二期）</t>
        </is>
      </c>
      <c r="D925" s="4" t="inlineStr">
        <is>
          <t>王明</t>
        </is>
      </c>
      <c r="E925" s="7" t="n">
        <v>2477</v>
      </c>
      <c r="F925" s="7" t="n">
        <v>2080.68</v>
      </c>
      <c r="G925" s="7">
        <f>E925-F925</f>
        <v/>
      </c>
      <c r="H925" s="8">
        <f>IFERROR(F925/E925,0)</f>
        <v/>
      </c>
      <c r="I925" s="4">
        <f>IF(H925&gt;=1,"超预算",IF(H925&gt;=0.9,"预警","正常"))</f>
        <v/>
      </c>
      <c r="J925" s="4">
        <f>RANK(F925,$F$4:$F$1203,0)</f>
        <v/>
      </c>
      <c r="K925" s="4" t="inlineStr">
        <is>
          <t>在建</t>
        </is>
      </c>
    </row>
    <row r="926">
      <c r="A926" s="4" t="n">
        <v>923</v>
      </c>
      <c r="B926" s="5" t="inlineStr">
        <is>
          <t>PJ-2026-0923</t>
        </is>
      </c>
      <c r="C926" s="6" t="inlineStr">
        <is>
          <t>和平街智慧园区建设项目（三期）</t>
        </is>
      </c>
      <c r="D926" s="4" t="inlineStr">
        <is>
          <t>李桂</t>
        </is>
      </c>
      <c r="E926" s="7" t="n">
        <v>2614</v>
      </c>
      <c r="F926" s="7" t="n">
        <v>2953.82</v>
      </c>
      <c r="G926" s="7">
        <f>E926-F926</f>
        <v/>
      </c>
      <c r="H926" s="8">
        <f>IFERROR(F926/E926,0)</f>
        <v/>
      </c>
      <c r="I926" s="4">
        <f>IF(H926&gt;=1,"超预算",IF(H926&gt;=0.9,"预警","正常"))</f>
        <v/>
      </c>
      <c r="J926" s="4">
        <f>RANK(F926,$F$4:$F$1203,0)</f>
        <v/>
      </c>
      <c r="K926" s="4" t="inlineStr">
        <is>
          <t>待启动</t>
        </is>
      </c>
    </row>
    <row r="927">
      <c r="A927" s="4" t="n">
        <v>924</v>
      </c>
      <c r="B927" s="5" t="inlineStr">
        <is>
          <t>PJ-2026-0924</t>
        </is>
      </c>
      <c r="C927" s="6" t="inlineStr">
        <is>
          <t>光明街污水处理扩容工程（四期）</t>
        </is>
      </c>
      <c r="D927" s="4" t="inlineStr">
        <is>
          <t>赵丽</t>
        </is>
      </c>
      <c r="E927" s="7" t="n">
        <v>2751</v>
      </c>
      <c r="F927" s="7" t="n">
        <v>1980.72</v>
      </c>
      <c r="G927" s="7">
        <f>E927-F927</f>
        <v/>
      </c>
      <c r="H927" s="8">
        <f>IFERROR(F927/E927,0)</f>
        <v/>
      </c>
      <c r="I927" s="4">
        <f>IF(H927&gt;=1,"超预算",IF(H927&gt;=0.9,"预警","正常"))</f>
        <v/>
      </c>
      <c r="J927" s="4">
        <f>RANK(F927,$F$4:$F$1203,0)</f>
        <v/>
      </c>
      <c r="K927" s="4" t="inlineStr">
        <is>
          <t>完工</t>
        </is>
      </c>
    </row>
    <row r="928">
      <c r="A928" s="4" t="n">
        <v>925</v>
      </c>
      <c r="B928" s="5" t="inlineStr">
        <is>
          <t>PJ-2026-0925</t>
        </is>
      </c>
      <c r="C928" s="6" t="inlineStr">
        <is>
          <t>城东路供水管网更新工程</t>
        </is>
      </c>
      <c r="D928" s="4" t="inlineStr">
        <is>
          <t>刘杰</t>
        </is>
      </c>
      <c r="E928" s="7" t="n">
        <v>2888</v>
      </c>
      <c r="F928" s="7" t="n">
        <v>2916.88</v>
      </c>
      <c r="G928" s="7">
        <f>E928-F928</f>
        <v/>
      </c>
      <c r="H928" s="8">
        <f>IFERROR(F928/E928,0)</f>
        <v/>
      </c>
      <c r="I928" s="4">
        <f>IF(H928&gt;=1,"超预算",IF(H928&gt;=0.9,"预警","正常"))</f>
        <v/>
      </c>
      <c r="J928" s="4">
        <f>RANK(F928,$F$4:$F$1203,0)</f>
        <v/>
      </c>
      <c r="K928" s="4" t="inlineStr">
        <is>
          <t>在建</t>
        </is>
      </c>
    </row>
    <row r="929">
      <c r="A929" s="4" t="n">
        <v>926</v>
      </c>
      <c r="B929" s="5" t="inlineStr">
        <is>
          <t>PJ-2026-0926</t>
        </is>
      </c>
      <c r="C929" s="6" t="inlineStr">
        <is>
          <t>解放路河道综合整治工程（二期）</t>
        </is>
      </c>
      <c r="D929" s="4" t="inlineStr">
        <is>
          <t>陈霞</t>
        </is>
      </c>
      <c r="E929" s="7" t="n">
        <v>3025</v>
      </c>
      <c r="F929" s="7" t="n">
        <v>1815</v>
      </c>
      <c r="G929" s="7">
        <f>E929-F929</f>
        <v/>
      </c>
      <c r="H929" s="8">
        <f>IFERROR(F929/E929,0)</f>
        <v/>
      </c>
      <c r="I929" s="4">
        <f>IF(H929&gt;=1,"超预算",IF(H929&gt;=0.9,"预警","正常"))</f>
        <v/>
      </c>
      <c r="J929" s="4">
        <f>RANK(F929,$F$4:$F$1203,0)</f>
        <v/>
      </c>
      <c r="K929" s="4" t="inlineStr">
        <is>
          <t>待启动</t>
        </is>
      </c>
    </row>
    <row r="930">
      <c r="A930" s="4" t="n">
        <v>927</v>
      </c>
      <c r="B930" s="5" t="inlineStr">
        <is>
          <t>PJ-2026-0927</t>
        </is>
      </c>
      <c r="C930" s="6" t="inlineStr">
        <is>
          <t>和平街学校新建工程（三期）</t>
        </is>
      </c>
      <c r="D930" s="4" t="inlineStr">
        <is>
          <t>杨娜</t>
        </is>
      </c>
      <c r="E930" s="7" t="n">
        <v>3162</v>
      </c>
      <c r="F930" s="7" t="n">
        <v>2814.18</v>
      </c>
      <c r="G930" s="7">
        <f>E930-F930</f>
        <v/>
      </c>
      <c r="H930" s="8">
        <f>IFERROR(F930/E930,0)</f>
        <v/>
      </c>
      <c r="I930" s="4">
        <f>IF(H930&gt;=1,"超预算",IF(H930&gt;=0.9,"预警","正常"))</f>
        <v/>
      </c>
      <c r="J930" s="4">
        <f>RANK(F930,$F$4:$F$1203,0)</f>
        <v/>
      </c>
      <c r="K930" s="4" t="inlineStr">
        <is>
          <t>完工</t>
        </is>
      </c>
    </row>
    <row r="931">
      <c r="A931" s="4" t="n">
        <v>928</v>
      </c>
      <c r="B931" s="5" t="inlineStr">
        <is>
          <t>PJ-2026-0928</t>
        </is>
      </c>
      <c r="C931" s="6" t="inlineStr">
        <is>
          <t>光明街医院改扩建项目（四期）</t>
        </is>
      </c>
      <c r="D931" s="4" t="inlineStr">
        <is>
          <t>黄洋</t>
        </is>
      </c>
      <c r="E931" s="7" t="n">
        <v>3299</v>
      </c>
      <c r="F931" s="7" t="n">
        <v>1583.52</v>
      </c>
      <c r="G931" s="7">
        <f>E931-F931</f>
        <v/>
      </c>
      <c r="H931" s="8">
        <f>IFERROR(F931/E931,0)</f>
        <v/>
      </c>
      <c r="I931" s="4">
        <f>IF(H931&gt;=1,"超预算",IF(H931&gt;=0.9,"预警","正常"))</f>
        <v/>
      </c>
      <c r="J931" s="4">
        <f>RANK(F931,$F$4:$F$1203,0)</f>
        <v/>
      </c>
      <c r="K931" s="4" t="inlineStr">
        <is>
          <t>在建</t>
        </is>
      </c>
    </row>
    <row r="932">
      <c r="A932" s="4" t="n">
        <v>929</v>
      </c>
      <c r="B932" s="5" t="inlineStr">
        <is>
          <t>PJ-2026-0929</t>
        </is>
      </c>
      <c r="C932" s="6" t="inlineStr">
        <is>
          <t>城东路公交枢纽建设工程</t>
        </is>
      </c>
      <c r="D932" s="4" t="inlineStr">
        <is>
          <t>周超</t>
        </is>
      </c>
      <c r="E932" s="7" t="n">
        <v>3436</v>
      </c>
      <c r="F932" s="7" t="n">
        <v>2645.72</v>
      </c>
      <c r="G932" s="7">
        <f>E932-F932</f>
        <v/>
      </c>
      <c r="H932" s="8">
        <f>IFERROR(F932/E932,0)</f>
        <v/>
      </c>
      <c r="I932" s="4">
        <f>IF(H932&gt;=1,"超预算",IF(H932&gt;=0.9,"预警","正常"))</f>
        <v/>
      </c>
      <c r="J932" s="4">
        <f>RANK(F932,$F$4:$F$1203,0)</f>
        <v/>
      </c>
      <c r="K932" s="4" t="inlineStr">
        <is>
          <t>待启动</t>
        </is>
      </c>
    </row>
    <row r="933">
      <c r="A933" s="4" t="n">
        <v>930</v>
      </c>
      <c r="B933" s="5" t="inlineStr">
        <is>
          <t>PJ-2026-0930</t>
        </is>
      </c>
      <c r="C933" s="6" t="inlineStr">
        <is>
          <t>解放路公共停车场建设工程（二期）</t>
        </is>
      </c>
      <c r="D933" s="4" t="inlineStr">
        <is>
          <t>吴英</t>
        </is>
      </c>
      <c r="E933" s="7" t="n">
        <v>3573</v>
      </c>
      <c r="F933" s="7" t="n">
        <v>3787.38</v>
      </c>
      <c r="G933" s="7">
        <f>E933-F933</f>
        <v/>
      </c>
      <c r="H933" s="8">
        <f>IFERROR(F933/E933,0)</f>
        <v/>
      </c>
      <c r="I933" s="4">
        <f>IF(H933&gt;=1,"超预算",IF(H933&gt;=0.9,"预警","正常"))</f>
        <v/>
      </c>
      <c r="J933" s="4">
        <f>RANK(F933,$F$4:$F$1203,0)</f>
        <v/>
      </c>
      <c r="K933" s="4" t="inlineStr">
        <is>
          <t>完工</t>
        </is>
      </c>
    </row>
    <row r="934">
      <c r="A934" s="4" t="n">
        <v>931</v>
      </c>
      <c r="B934" s="5" t="inlineStr">
        <is>
          <t>PJ-2026-0931</t>
        </is>
      </c>
      <c r="C934" s="6" t="inlineStr">
        <is>
          <t>和平街道路改造工程（三期）</t>
        </is>
      </c>
      <c r="D934" s="4" t="inlineStr">
        <is>
          <t>徐强</t>
        </is>
      </c>
      <c r="E934" s="7" t="n">
        <v>3710</v>
      </c>
      <c r="F934" s="7" t="n">
        <v>2411.5</v>
      </c>
      <c r="G934" s="7">
        <f>E934-F934</f>
        <v/>
      </c>
      <c r="H934" s="8">
        <f>IFERROR(F934/E934,0)</f>
        <v/>
      </c>
      <c r="I934" s="4">
        <f>IF(H934&gt;=1,"超预算",IF(H934&gt;=0.9,"预警","正常"))</f>
        <v/>
      </c>
      <c r="J934" s="4">
        <f>RANK(F934,$F$4:$F$1203,0)</f>
        <v/>
      </c>
      <c r="K934" s="4" t="inlineStr">
        <is>
          <t>在建</t>
        </is>
      </c>
    </row>
    <row r="935">
      <c r="A935" s="4" t="n">
        <v>932</v>
      </c>
      <c r="B935" s="5" t="inlineStr">
        <is>
          <t>PJ-2026-0932</t>
        </is>
      </c>
      <c r="C935" s="6" t="inlineStr">
        <is>
          <t>光明街老旧小区改造项目（四期）</t>
        </is>
      </c>
      <c r="D935" s="4" t="inlineStr">
        <is>
          <t>孙娟</t>
        </is>
      </c>
      <c r="E935" s="7" t="n">
        <v>3847</v>
      </c>
      <c r="F935" s="7" t="n">
        <v>3616.18</v>
      </c>
      <c r="G935" s="7">
        <f>E935-F935</f>
        <v/>
      </c>
      <c r="H935" s="8">
        <f>IFERROR(F935/E935,0)</f>
        <v/>
      </c>
      <c r="I935" s="4">
        <f>IF(H935&gt;=1,"超预算",IF(H935&gt;=0.9,"预警","正常"))</f>
        <v/>
      </c>
      <c r="J935" s="4">
        <f>RANK(F935,$F$4:$F$1203,0)</f>
        <v/>
      </c>
      <c r="K935" s="4" t="inlineStr">
        <is>
          <t>待启动</t>
        </is>
      </c>
    </row>
    <row r="936">
      <c r="A936" s="4" t="n">
        <v>933</v>
      </c>
      <c r="B936" s="5" t="inlineStr">
        <is>
          <t>PJ-2026-0933</t>
        </is>
      </c>
      <c r="C936" s="6" t="inlineStr">
        <is>
          <t>城东路智慧园区建设项目</t>
        </is>
      </c>
      <c r="D936" s="4" t="inlineStr">
        <is>
          <t>马平</t>
        </is>
      </c>
      <c r="E936" s="7" t="n">
        <v>3984</v>
      </c>
      <c r="F936" s="7" t="n">
        <v>2111.52</v>
      </c>
      <c r="G936" s="7">
        <f>E936-F936</f>
        <v/>
      </c>
      <c r="H936" s="8">
        <f>IFERROR(F936/E936,0)</f>
        <v/>
      </c>
      <c r="I936" s="4">
        <f>IF(H936&gt;=1,"超预算",IF(H936&gt;=0.9,"预警","正常"))</f>
        <v/>
      </c>
      <c r="J936" s="4">
        <f>RANK(F936,$F$4:$F$1203,0)</f>
        <v/>
      </c>
      <c r="K936" s="4" t="inlineStr">
        <is>
          <t>完工</t>
        </is>
      </c>
    </row>
    <row r="937">
      <c r="A937" s="4" t="n">
        <v>934</v>
      </c>
      <c r="B937" s="5" t="inlineStr">
        <is>
          <t>PJ-2026-0934</t>
        </is>
      </c>
      <c r="C937" s="6" t="inlineStr">
        <is>
          <t>解放路污水处理扩容工程（二期）</t>
        </is>
      </c>
      <c r="D937" s="4" t="inlineStr">
        <is>
          <t>朱敏</t>
        </is>
      </c>
      <c r="E937" s="7" t="n">
        <v>4121</v>
      </c>
      <c r="F937" s="7" t="n">
        <v>3379.22</v>
      </c>
      <c r="G937" s="7">
        <f>E937-F937</f>
        <v/>
      </c>
      <c r="H937" s="8">
        <f>IFERROR(F937/E937,0)</f>
        <v/>
      </c>
      <c r="I937" s="4">
        <f>IF(H937&gt;=1,"超预算",IF(H937&gt;=0.9,"预警","正常"))</f>
        <v/>
      </c>
      <c r="J937" s="4">
        <f>RANK(F937,$F$4:$F$1203,0)</f>
        <v/>
      </c>
      <c r="K937" s="4" t="inlineStr">
        <is>
          <t>在建</t>
        </is>
      </c>
    </row>
    <row r="938">
      <c r="A938" s="4" t="n">
        <v>935</v>
      </c>
      <c r="B938" s="5" t="inlineStr">
        <is>
          <t>PJ-2026-0935</t>
        </is>
      </c>
      <c r="C938" s="6" t="inlineStr">
        <is>
          <t>和平街供水管网更新工程（三期）</t>
        </is>
      </c>
      <c r="D938" s="4" t="inlineStr">
        <is>
          <t>胡勇</t>
        </is>
      </c>
      <c r="E938" s="7" t="n">
        <v>4258</v>
      </c>
      <c r="F938" s="7" t="n">
        <v>4726.38</v>
      </c>
      <c r="G938" s="7">
        <f>E938-F938</f>
        <v/>
      </c>
      <c r="H938" s="8">
        <f>IFERROR(F938/E938,0)</f>
        <v/>
      </c>
      <c r="I938" s="4">
        <f>IF(H938&gt;=1,"超预算",IF(H938&gt;=0.9,"预警","正常"))</f>
        <v/>
      </c>
      <c r="J938" s="4">
        <f>RANK(F938,$F$4:$F$1203,0)</f>
        <v/>
      </c>
      <c r="K938" s="4" t="inlineStr">
        <is>
          <t>待启动</t>
        </is>
      </c>
    </row>
    <row r="939">
      <c r="A939" s="4" t="n">
        <v>936</v>
      </c>
      <c r="B939" s="5" t="inlineStr">
        <is>
          <t>PJ-2026-0936</t>
        </is>
      </c>
      <c r="C939" s="6" t="inlineStr">
        <is>
          <t>光明街河道综合整治工程（四期）</t>
        </is>
      </c>
      <c r="D939" s="4" t="inlineStr">
        <is>
          <t>郭秀</t>
        </is>
      </c>
      <c r="E939" s="7" t="n">
        <v>4395</v>
      </c>
      <c r="F939" s="7" t="n">
        <v>3076.5</v>
      </c>
      <c r="G939" s="7">
        <f>E939-F939</f>
        <v/>
      </c>
      <c r="H939" s="8">
        <f>IFERROR(F939/E939,0)</f>
        <v/>
      </c>
      <c r="I939" s="4">
        <f>IF(H939&gt;=1,"超预算",IF(H939&gt;=0.9,"预警","正常"))</f>
        <v/>
      </c>
      <c r="J939" s="4">
        <f>RANK(F939,$F$4:$F$1203,0)</f>
        <v/>
      </c>
      <c r="K939" s="4" t="inlineStr">
        <is>
          <t>完工</t>
        </is>
      </c>
    </row>
    <row r="940">
      <c r="A940" s="4" t="n">
        <v>937</v>
      </c>
      <c r="B940" s="5" t="inlineStr">
        <is>
          <t>PJ-2026-0937</t>
        </is>
      </c>
      <c r="C940" s="6" t="inlineStr">
        <is>
          <t>城东路学校新建工程</t>
        </is>
      </c>
      <c r="D940" s="4" t="inlineStr">
        <is>
          <t>何伟</t>
        </is>
      </c>
      <c r="E940" s="7" t="n">
        <v>4532</v>
      </c>
      <c r="F940" s="7" t="n">
        <v>4486.68</v>
      </c>
      <c r="G940" s="7">
        <f>E940-F940</f>
        <v/>
      </c>
      <c r="H940" s="8">
        <f>IFERROR(F940/E940,0)</f>
        <v/>
      </c>
      <c r="I940" s="4">
        <f>IF(H940&gt;=1,"超预算",IF(H940&gt;=0.9,"预警","正常"))</f>
        <v/>
      </c>
      <c r="J940" s="4">
        <f>RANK(F940,$F$4:$F$1203,0)</f>
        <v/>
      </c>
      <c r="K940" s="4" t="inlineStr">
        <is>
          <t>在建</t>
        </is>
      </c>
    </row>
    <row r="941">
      <c r="A941" s="4" t="n">
        <v>938</v>
      </c>
      <c r="B941" s="5" t="inlineStr">
        <is>
          <t>PJ-2026-0938</t>
        </is>
      </c>
      <c r="C941" s="6" t="inlineStr">
        <is>
          <t>解放路医院改扩建项目（二期）</t>
        </is>
      </c>
      <c r="D941" s="4" t="inlineStr">
        <is>
          <t>高磊</t>
        </is>
      </c>
      <c r="E941" s="7" t="n">
        <v>4669</v>
      </c>
      <c r="F941" s="7" t="n">
        <v>2708.02</v>
      </c>
      <c r="G941" s="7">
        <f>E941-F941</f>
        <v/>
      </c>
      <c r="H941" s="8">
        <f>IFERROR(F941/E941,0)</f>
        <v/>
      </c>
      <c r="I941" s="4">
        <f>IF(H941&gt;=1,"超预算",IF(H941&gt;=0.9,"预警","正常"))</f>
        <v/>
      </c>
      <c r="J941" s="4">
        <f>RANK(F941,$F$4:$F$1203,0)</f>
        <v/>
      </c>
      <c r="K941" s="4" t="inlineStr">
        <is>
          <t>待启动</t>
        </is>
      </c>
    </row>
    <row r="942">
      <c r="A942" s="4" t="n">
        <v>939</v>
      </c>
      <c r="B942" s="5" t="inlineStr">
        <is>
          <t>PJ-2026-0939</t>
        </is>
      </c>
      <c r="C942" s="6" t="inlineStr">
        <is>
          <t>和平街公交枢纽建设工程（三期）</t>
        </is>
      </c>
      <c r="D942" s="4" t="inlineStr">
        <is>
          <t>林涛</t>
        </is>
      </c>
      <c r="E942" s="7" t="n">
        <v>4806</v>
      </c>
      <c r="F942" s="7" t="n">
        <v>4181.22</v>
      </c>
      <c r="G942" s="7">
        <f>E942-F942</f>
        <v/>
      </c>
      <c r="H942" s="8">
        <f>IFERROR(F942/E942,0)</f>
        <v/>
      </c>
      <c r="I942" s="4">
        <f>IF(H942&gt;=1,"超预算",IF(H942&gt;=0.9,"预警","正常"))</f>
        <v/>
      </c>
      <c r="J942" s="4">
        <f>RANK(F942,$F$4:$F$1203,0)</f>
        <v/>
      </c>
      <c r="K942" s="4" t="inlineStr">
        <is>
          <t>完工</t>
        </is>
      </c>
    </row>
    <row r="943">
      <c r="A943" s="4" t="n">
        <v>940</v>
      </c>
      <c r="B943" s="5" t="inlineStr">
        <is>
          <t>PJ-2026-0940</t>
        </is>
      </c>
      <c r="C943" s="6" t="inlineStr">
        <is>
          <t>光明街公共停车场建设工程（四期）</t>
        </is>
      </c>
      <c r="D943" s="4" t="inlineStr">
        <is>
          <t>罗刚</t>
        </is>
      </c>
      <c r="E943" s="7" t="n">
        <v>4943</v>
      </c>
      <c r="F943" s="7" t="n">
        <v>2273.78</v>
      </c>
      <c r="G943" s="7">
        <f>E943-F943</f>
        <v/>
      </c>
      <c r="H943" s="8">
        <f>IFERROR(F943/E943,0)</f>
        <v/>
      </c>
      <c r="I943" s="4">
        <f>IF(H943&gt;=1,"超预算",IF(H943&gt;=0.9,"预警","正常"))</f>
        <v/>
      </c>
      <c r="J943" s="4">
        <f>RANK(F943,$F$4:$F$1203,0)</f>
        <v/>
      </c>
      <c r="K943" s="4" t="inlineStr">
        <is>
          <t>在建</t>
        </is>
      </c>
    </row>
    <row r="944">
      <c r="A944" s="4" t="n">
        <v>941</v>
      </c>
      <c r="B944" s="5" t="inlineStr">
        <is>
          <t>PJ-2026-0941</t>
        </is>
      </c>
      <c r="C944" s="6" t="inlineStr">
        <is>
          <t>城东路道路改造工程</t>
        </is>
      </c>
      <c r="D944" s="4" t="inlineStr">
        <is>
          <t>张静</t>
        </is>
      </c>
      <c r="E944" s="7" t="n">
        <v>130</v>
      </c>
      <c r="F944" s="7" t="n">
        <v>97.5</v>
      </c>
      <c r="G944" s="7">
        <f>E944-F944</f>
        <v/>
      </c>
      <c r="H944" s="8">
        <f>IFERROR(F944/E944,0)</f>
        <v/>
      </c>
      <c r="I944" s="4">
        <f>IF(H944&gt;=1,"超预算",IF(H944&gt;=0.9,"预警","正常"))</f>
        <v/>
      </c>
      <c r="J944" s="4">
        <f>RANK(F944,$F$4:$F$1203,0)</f>
        <v/>
      </c>
      <c r="K944" s="4" t="inlineStr">
        <is>
          <t>待启动</t>
        </is>
      </c>
    </row>
    <row r="945">
      <c r="A945" s="4" t="n">
        <v>942</v>
      </c>
      <c r="B945" s="5" t="inlineStr">
        <is>
          <t>PJ-2026-0942</t>
        </is>
      </c>
      <c r="C945" s="6" t="inlineStr">
        <is>
          <t>解放路老旧小区改造项目（二期）</t>
        </is>
      </c>
      <c r="D945" s="4" t="inlineStr">
        <is>
          <t>王艳</t>
        </is>
      </c>
      <c r="E945" s="7" t="n">
        <v>267</v>
      </c>
      <c r="F945" s="7" t="n">
        <v>277.68</v>
      </c>
      <c r="G945" s="7">
        <f>E945-F945</f>
        <v/>
      </c>
      <c r="H945" s="8">
        <f>IFERROR(F945/E945,0)</f>
        <v/>
      </c>
      <c r="I945" s="4">
        <f>IF(H945&gt;=1,"超预算",IF(H945&gt;=0.9,"预警","正常"))</f>
        <v/>
      </c>
      <c r="J945" s="4">
        <f>RANK(F945,$F$4:$F$1203,0)</f>
        <v/>
      </c>
      <c r="K945" s="4" t="inlineStr">
        <is>
          <t>完工</t>
        </is>
      </c>
    </row>
    <row r="946">
      <c r="A946" s="4" t="n">
        <v>943</v>
      </c>
      <c r="B946" s="5" t="inlineStr">
        <is>
          <t>PJ-2026-0943</t>
        </is>
      </c>
      <c r="C946" s="6" t="inlineStr">
        <is>
          <t>和平街智慧园区建设项目（三期）</t>
        </is>
      </c>
      <c r="D946" s="4" t="inlineStr">
        <is>
          <t>李英</t>
        </is>
      </c>
      <c r="E946" s="7" t="n">
        <v>404</v>
      </c>
      <c r="F946" s="7" t="n">
        <v>254.52</v>
      </c>
      <c r="G946" s="7">
        <f>E946-F946</f>
        <v/>
      </c>
      <c r="H946" s="8">
        <f>IFERROR(F946/E946,0)</f>
        <v/>
      </c>
      <c r="I946" s="4">
        <f>IF(H946&gt;=1,"超预算",IF(H946&gt;=0.9,"预警","正常"))</f>
        <v/>
      </c>
      <c r="J946" s="4">
        <f>RANK(F946,$F$4:$F$1203,0)</f>
        <v/>
      </c>
      <c r="K946" s="4" t="inlineStr">
        <is>
          <t>在建</t>
        </is>
      </c>
    </row>
    <row r="947">
      <c r="A947" s="4" t="n">
        <v>944</v>
      </c>
      <c r="B947" s="5" t="inlineStr">
        <is>
          <t>PJ-2026-0944</t>
        </is>
      </c>
      <c r="C947" s="6" t="inlineStr">
        <is>
          <t>光明街污水处理扩容工程（四期）</t>
        </is>
      </c>
      <c r="D947" s="4" t="inlineStr">
        <is>
          <t>赵芳</t>
        </is>
      </c>
      <c r="E947" s="7" t="n">
        <v>541</v>
      </c>
      <c r="F947" s="7" t="n">
        <v>497.72</v>
      </c>
      <c r="G947" s="7">
        <f>E947-F947</f>
        <v/>
      </c>
      <c r="H947" s="8">
        <f>IFERROR(F947/E947,0)</f>
        <v/>
      </c>
      <c r="I947" s="4">
        <f>IF(H947&gt;=1,"超预算",IF(H947&gt;=0.9,"预警","正常"))</f>
        <v/>
      </c>
      <c r="J947" s="4">
        <f>RANK(F947,$F$4:$F$1203,0)</f>
        <v/>
      </c>
      <c r="K947" s="4" t="inlineStr">
        <is>
          <t>待启动</t>
        </is>
      </c>
    </row>
    <row r="948">
      <c r="A948" s="4" t="n">
        <v>945</v>
      </c>
      <c r="B948" s="5" t="inlineStr">
        <is>
          <t>PJ-2026-0945</t>
        </is>
      </c>
      <c r="C948" s="6" t="inlineStr">
        <is>
          <t>城东路供水管网更新工程</t>
        </is>
      </c>
      <c r="D948" s="4" t="inlineStr">
        <is>
          <t>刘军</t>
        </is>
      </c>
      <c r="E948" s="7" t="n">
        <v>678</v>
      </c>
      <c r="F948" s="7" t="n">
        <v>345.78</v>
      </c>
      <c r="G948" s="7">
        <f>E948-F948</f>
        <v/>
      </c>
      <c r="H948" s="8">
        <f>IFERROR(F948/E948,0)</f>
        <v/>
      </c>
      <c r="I948" s="4">
        <f>IF(H948&gt;=1,"超预算",IF(H948&gt;=0.9,"预警","正常"))</f>
        <v/>
      </c>
      <c r="J948" s="4">
        <f>RANK(F948,$F$4:$F$1203,0)</f>
        <v/>
      </c>
      <c r="K948" s="4" t="inlineStr">
        <is>
          <t>完工</t>
        </is>
      </c>
    </row>
    <row r="949">
      <c r="A949" s="4" t="n">
        <v>946</v>
      </c>
      <c r="B949" s="5" t="inlineStr">
        <is>
          <t>PJ-2026-0946</t>
        </is>
      </c>
      <c r="C949" s="6" t="inlineStr">
        <is>
          <t>解放路河道综合整治工程（二期）</t>
        </is>
      </c>
      <c r="D949" s="4" t="inlineStr">
        <is>
          <t>陈明</t>
        </is>
      </c>
      <c r="E949" s="7" t="n">
        <v>815</v>
      </c>
      <c r="F949" s="7" t="n">
        <v>652</v>
      </c>
      <c r="G949" s="7">
        <f>E949-F949</f>
        <v/>
      </c>
      <c r="H949" s="8">
        <f>IFERROR(F949/E949,0)</f>
        <v/>
      </c>
      <c r="I949" s="4">
        <f>IF(H949&gt;=1,"超预算",IF(H949&gt;=0.9,"预警","正常"))</f>
        <v/>
      </c>
      <c r="J949" s="4">
        <f>RANK(F949,$F$4:$F$1203,0)</f>
        <v/>
      </c>
      <c r="K949" s="4" t="inlineStr">
        <is>
          <t>在建</t>
        </is>
      </c>
    </row>
    <row r="950">
      <c r="A950" s="4" t="n">
        <v>947</v>
      </c>
      <c r="B950" s="5" t="inlineStr">
        <is>
          <t>PJ-2026-0947</t>
        </is>
      </c>
      <c r="C950" s="6" t="inlineStr">
        <is>
          <t>和平街学校新建工程（三期）</t>
        </is>
      </c>
      <c r="D950" s="4" t="inlineStr">
        <is>
          <t>杨桂</t>
        </is>
      </c>
      <c r="E950" s="7" t="n">
        <v>952</v>
      </c>
      <c r="F950" s="7" t="n">
        <v>1037.68</v>
      </c>
      <c r="G950" s="7">
        <f>E950-F950</f>
        <v/>
      </c>
      <c r="H950" s="8">
        <f>IFERROR(F950/E950,0)</f>
        <v/>
      </c>
      <c r="I950" s="4">
        <f>IF(H950&gt;=1,"超预算",IF(H950&gt;=0.9,"预警","正常"))</f>
        <v/>
      </c>
      <c r="J950" s="4">
        <f>RANK(F950,$F$4:$F$1203,0)</f>
        <v/>
      </c>
      <c r="K950" s="4" t="inlineStr">
        <is>
          <t>待启动</t>
        </is>
      </c>
    </row>
    <row r="951">
      <c r="A951" s="4" t="n">
        <v>948</v>
      </c>
      <c r="B951" s="5" t="inlineStr">
        <is>
          <t>PJ-2026-0948</t>
        </is>
      </c>
      <c r="C951" s="6" t="inlineStr">
        <is>
          <t>光明街医院改扩建项目（四期）</t>
        </is>
      </c>
      <c r="D951" s="4" t="inlineStr">
        <is>
          <t>黄丽</t>
        </is>
      </c>
      <c r="E951" s="7" t="n">
        <v>1089</v>
      </c>
      <c r="F951" s="7" t="n">
        <v>740.52</v>
      </c>
      <c r="G951" s="7">
        <f>E951-F951</f>
        <v/>
      </c>
      <c r="H951" s="8">
        <f>IFERROR(F951/E951,0)</f>
        <v/>
      </c>
      <c r="I951" s="4">
        <f>IF(H951&gt;=1,"超预算",IF(H951&gt;=0.9,"预警","正常"))</f>
        <v/>
      </c>
      <c r="J951" s="4">
        <f>RANK(F951,$F$4:$F$1203,0)</f>
        <v/>
      </c>
      <c r="K951" s="4" t="inlineStr">
        <is>
          <t>完工</t>
        </is>
      </c>
    </row>
    <row r="952">
      <c r="A952" s="4" t="n">
        <v>949</v>
      </c>
      <c r="B952" s="5" t="inlineStr">
        <is>
          <t>PJ-2026-0949</t>
        </is>
      </c>
      <c r="C952" s="6" t="inlineStr">
        <is>
          <t>城东路公交枢纽建设工程</t>
        </is>
      </c>
      <c r="D952" s="4" t="inlineStr">
        <is>
          <t>周杰</t>
        </is>
      </c>
      <c r="E952" s="7" t="n">
        <v>1226</v>
      </c>
      <c r="F952" s="7" t="n">
        <v>1189.22</v>
      </c>
      <c r="G952" s="7">
        <f>E952-F952</f>
        <v/>
      </c>
      <c r="H952" s="8">
        <f>IFERROR(F952/E952,0)</f>
        <v/>
      </c>
      <c r="I952" s="4">
        <f>IF(H952&gt;=1,"超预算",IF(H952&gt;=0.9,"预警","正常"))</f>
        <v/>
      </c>
      <c r="J952" s="4">
        <f>RANK(F952,$F$4:$F$1203,0)</f>
        <v/>
      </c>
      <c r="K952" s="4" t="inlineStr">
        <is>
          <t>在建</t>
        </is>
      </c>
    </row>
    <row r="953">
      <c r="A953" s="4" t="n">
        <v>950</v>
      </c>
      <c r="B953" s="5" t="inlineStr">
        <is>
          <t>PJ-2026-0950</t>
        </is>
      </c>
      <c r="C953" s="6" t="inlineStr">
        <is>
          <t>解放路公共停车场建设工程（二期）</t>
        </is>
      </c>
      <c r="D953" s="4" t="inlineStr">
        <is>
          <t>吴霞</t>
        </is>
      </c>
      <c r="E953" s="7" t="n">
        <v>1363</v>
      </c>
      <c r="F953" s="7" t="n">
        <v>763.28</v>
      </c>
      <c r="G953" s="7">
        <f>E953-F953</f>
        <v/>
      </c>
      <c r="H953" s="8">
        <f>IFERROR(F953/E953,0)</f>
        <v/>
      </c>
      <c r="I953" s="4">
        <f>IF(H953&gt;=1,"超预算",IF(H953&gt;=0.9,"预警","正常"))</f>
        <v/>
      </c>
      <c r="J953" s="4">
        <f>RANK(F953,$F$4:$F$1203,0)</f>
        <v/>
      </c>
      <c r="K953" s="4" t="inlineStr">
        <is>
          <t>待启动</t>
        </is>
      </c>
    </row>
    <row r="954">
      <c r="A954" s="4" t="n">
        <v>951</v>
      </c>
      <c r="B954" s="5" t="inlineStr">
        <is>
          <t>PJ-2026-0951</t>
        </is>
      </c>
      <c r="C954" s="6" t="inlineStr">
        <is>
          <t>和平街道路改造工程（三期）</t>
        </is>
      </c>
      <c r="D954" s="4" t="inlineStr">
        <is>
          <t>徐娜</t>
        </is>
      </c>
      <c r="E954" s="7" t="n">
        <v>1500</v>
      </c>
      <c r="F954" s="7" t="n">
        <v>1275</v>
      </c>
      <c r="G954" s="7">
        <f>E954-F954</f>
        <v/>
      </c>
      <c r="H954" s="8">
        <f>IFERROR(F954/E954,0)</f>
        <v/>
      </c>
      <c r="I954" s="4">
        <f>IF(H954&gt;=1,"超预算",IF(H954&gt;=0.9,"预警","正常"))</f>
        <v/>
      </c>
      <c r="J954" s="4">
        <f>RANK(F954,$F$4:$F$1203,0)</f>
        <v/>
      </c>
      <c r="K954" s="4" t="inlineStr">
        <is>
          <t>完工</t>
        </is>
      </c>
    </row>
    <row r="955">
      <c r="A955" s="4" t="n">
        <v>952</v>
      </c>
      <c r="B955" s="5" t="inlineStr">
        <is>
          <t>PJ-2026-0952</t>
        </is>
      </c>
      <c r="C955" s="6" t="inlineStr">
        <is>
          <t>光明街老旧小区改造项目（四期）</t>
        </is>
      </c>
      <c r="D955" s="4" t="inlineStr">
        <is>
          <t>孙洋</t>
        </is>
      </c>
      <c r="E955" s="7" t="n">
        <v>1637</v>
      </c>
      <c r="F955" s="7" t="n">
        <v>1866.18</v>
      </c>
      <c r="G955" s="7">
        <f>E955-F955</f>
        <v/>
      </c>
      <c r="H955" s="8">
        <f>IFERROR(F955/E955,0)</f>
        <v/>
      </c>
      <c r="I955" s="4">
        <f>IF(H955&gt;=1,"超预算",IF(H955&gt;=0.9,"预警","正常"))</f>
        <v/>
      </c>
      <c r="J955" s="4">
        <f>RANK(F955,$F$4:$F$1203,0)</f>
        <v/>
      </c>
      <c r="K955" s="4" t="inlineStr">
        <is>
          <t>在建</t>
        </is>
      </c>
    </row>
    <row r="956">
      <c r="A956" s="4" t="n">
        <v>953</v>
      </c>
      <c r="B956" s="5" t="inlineStr">
        <is>
          <t>PJ-2026-0953</t>
        </is>
      </c>
      <c r="C956" s="6" t="inlineStr">
        <is>
          <t>城东路智慧园区建设项目</t>
        </is>
      </c>
      <c r="D956" s="4" t="inlineStr">
        <is>
          <t>马超</t>
        </is>
      </c>
      <c r="E956" s="7" t="n">
        <v>1774</v>
      </c>
      <c r="F956" s="7" t="n">
        <v>1295.02</v>
      </c>
      <c r="G956" s="7">
        <f>E956-F956</f>
        <v/>
      </c>
      <c r="H956" s="8">
        <f>IFERROR(F956/E956,0)</f>
        <v/>
      </c>
      <c r="I956" s="4">
        <f>IF(H956&gt;=1,"超预算",IF(H956&gt;=0.9,"预警","正常"))</f>
        <v/>
      </c>
      <c r="J956" s="4">
        <f>RANK(F956,$F$4:$F$1203,0)</f>
        <v/>
      </c>
      <c r="K956" s="4" t="inlineStr">
        <is>
          <t>待启动</t>
        </is>
      </c>
    </row>
    <row r="957">
      <c r="A957" s="4" t="n">
        <v>954</v>
      </c>
      <c r="B957" s="5" t="inlineStr">
        <is>
          <t>PJ-2026-0954</t>
        </is>
      </c>
      <c r="C957" s="6" t="inlineStr">
        <is>
          <t>解放路污水处理扩容工程（二期）</t>
        </is>
      </c>
      <c r="D957" s="4" t="inlineStr">
        <is>
          <t>朱英</t>
        </is>
      </c>
      <c r="E957" s="7" t="n">
        <v>1911</v>
      </c>
      <c r="F957" s="7" t="n">
        <v>1949.22</v>
      </c>
      <c r="G957" s="7">
        <f>E957-F957</f>
        <v/>
      </c>
      <c r="H957" s="8">
        <f>IFERROR(F957/E957,0)</f>
        <v/>
      </c>
      <c r="I957" s="4">
        <f>IF(H957&gt;=1,"超预算",IF(H957&gt;=0.9,"预警","正常"))</f>
        <v/>
      </c>
      <c r="J957" s="4">
        <f>RANK(F957,$F$4:$F$1203,0)</f>
        <v/>
      </c>
      <c r="K957" s="4" t="inlineStr">
        <is>
          <t>完工</t>
        </is>
      </c>
    </row>
    <row r="958">
      <c r="A958" s="4" t="n">
        <v>955</v>
      </c>
      <c r="B958" s="5" t="inlineStr">
        <is>
          <t>PJ-2026-0955</t>
        </is>
      </c>
      <c r="C958" s="6" t="inlineStr">
        <is>
          <t>和平街供水管网更新工程（三期）</t>
        </is>
      </c>
      <c r="D958" s="4" t="inlineStr">
        <is>
          <t>胡强</t>
        </is>
      </c>
      <c r="E958" s="7" t="n">
        <v>2048</v>
      </c>
      <c r="F958" s="7" t="n">
        <v>1249.28</v>
      </c>
      <c r="G958" s="7">
        <f>E958-F958</f>
        <v/>
      </c>
      <c r="H958" s="8">
        <f>IFERROR(F958/E958,0)</f>
        <v/>
      </c>
      <c r="I958" s="4">
        <f>IF(H958&gt;=1,"超预算",IF(H958&gt;=0.9,"预警","正常"))</f>
        <v/>
      </c>
      <c r="J958" s="4">
        <f>RANK(F958,$F$4:$F$1203,0)</f>
        <v/>
      </c>
      <c r="K958" s="4" t="inlineStr">
        <is>
          <t>在建</t>
        </is>
      </c>
    </row>
    <row r="959">
      <c r="A959" s="4" t="n">
        <v>956</v>
      </c>
      <c r="B959" s="5" t="inlineStr">
        <is>
          <t>PJ-2026-0956</t>
        </is>
      </c>
      <c r="C959" s="6" t="inlineStr">
        <is>
          <t>光明街河道综合整治工程（四期）</t>
        </is>
      </c>
      <c r="D959" s="4" t="inlineStr">
        <is>
          <t>郭娟</t>
        </is>
      </c>
      <c r="E959" s="7" t="n">
        <v>2185</v>
      </c>
      <c r="F959" s="7" t="n">
        <v>1966.5</v>
      </c>
      <c r="G959" s="7">
        <f>E959-F959</f>
        <v/>
      </c>
      <c r="H959" s="8">
        <f>IFERROR(F959/E959,0)</f>
        <v/>
      </c>
      <c r="I959" s="4">
        <f>IF(H959&gt;=1,"超预算",IF(H959&gt;=0.9,"预警","正常"))</f>
        <v/>
      </c>
      <c r="J959" s="4">
        <f>RANK(F959,$F$4:$F$1203,0)</f>
        <v/>
      </c>
      <c r="K959" s="4" t="inlineStr">
        <is>
          <t>待启动</t>
        </is>
      </c>
    </row>
    <row r="960">
      <c r="A960" s="4" t="n">
        <v>957</v>
      </c>
      <c r="B960" s="5" t="inlineStr">
        <is>
          <t>PJ-2026-0957</t>
        </is>
      </c>
      <c r="C960" s="6" t="inlineStr">
        <is>
          <t>城东路学校新建工程</t>
        </is>
      </c>
      <c r="D960" s="4" t="inlineStr">
        <is>
          <t>何平</t>
        </is>
      </c>
      <c r="E960" s="7" t="n">
        <v>2322</v>
      </c>
      <c r="F960" s="7" t="n">
        <v>1137.78</v>
      </c>
      <c r="G960" s="7">
        <f>E960-F960</f>
        <v/>
      </c>
      <c r="H960" s="8">
        <f>IFERROR(F960/E960,0)</f>
        <v/>
      </c>
      <c r="I960" s="4">
        <f>IF(H960&gt;=1,"超预算",IF(H960&gt;=0.9,"预警","正常"))</f>
        <v/>
      </c>
      <c r="J960" s="4">
        <f>RANK(F960,$F$4:$F$1203,0)</f>
        <v/>
      </c>
      <c r="K960" s="4" t="inlineStr">
        <is>
          <t>完工</t>
        </is>
      </c>
    </row>
    <row r="961">
      <c r="A961" s="4" t="n">
        <v>958</v>
      </c>
      <c r="B961" s="5" t="inlineStr">
        <is>
          <t>PJ-2026-0958</t>
        </is>
      </c>
      <c r="C961" s="6" t="inlineStr">
        <is>
          <t>解放路医院改扩建项目（二期）</t>
        </is>
      </c>
      <c r="D961" s="4" t="inlineStr">
        <is>
          <t>高敏</t>
        </is>
      </c>
      <c r="E961" s="7" t="n">
        <v>2459</v>
      </c>
      <c r="F961" s="7" t="n">
        <v>1918.02</v>
      </c>
      <c r="G961" s="7">
        <f>E961-F961</f>
        <v/>
      </c>
      <c r="H961" s="8">
        <f>IFERROR(F961/E961,0)</f>
        <v/>
      </c>
      <c r="I961" s="4">
        <f>IF(H961&gt;=1,"超预算",IF(H961&gt;=0.9,"预警","正常"))</f>
        <v/>
      </c>
      <c r="J961" s="4">
        <f>RANK(F961,$F$4:$F$1203,0)</f>
        <v/>
      </c>
      <c r="K961" s="4" t="inlineStr">
        <is>
          <t>在建</t>
        </is>
      </c>
    </row>
    <row r="962">
      <c r="A962" s="4" t="n">
        <v>959</v>
      </c>
      <c r="B962" s="5" t="inlineStr">
        <is>
          <t>PJ-2026-0959</t>
        </is>
      </c>
      <c r="C962" s="6" t="inlineStr">
        <is>
          <t>和平街公交枢纽建设工程（三期）</t>
        </is>
      </c>
      <c r="D962" s="4" t="inlineStr">
        <is>
          <t>林勇</t>
        </is>
      </c>
      <c r="E962" s="7" t="n">
        <v>2596</v>
      </c>
      <c r="F962" s="7" t="n">
        <v>2777.72</v>
      </c>
      <c r="G962" s="7">
        <f>E962-F962</f>
        <v/>
      </c>
      <c r="H962" s="8">
        <f>IFERROR(F962/E962,0)</f>
        <v/>
      </c>
      <c r="I962" s="4">
        <f>IF(H962&gt;=1,"超预算",IF(H962&gt;=0.9,"预警","正常"))</f>
        <v/>
      </c>
      <c r="J962" s="4">
        <f>RANK(F962,$F$4:$F$1203,0)</f>
        <v/>
      </c>
      <c r="K962" s="4" t="inlineStr">
        <is>
          <t>待启动</t>
        </is>
      </c>
    </row>
    <row r="963">
      <c r="A963" s="4" t="n">
        <v>960</v>
      </c>
      <c r="B963" s="5" t="inlineStr">
        <is>
          <t>PJ-2026-0960</t>
        </is>
      </c>
      <c r="C963" s="6" t="inlineStr">
        <is>
          <t>光明街公共停车场建设工程（四期）</t>
        </is>
      </c>
      <c r="D963" s="4" t="inlineStr">
        <is>
          <t>罗秀</t>
        </is>
      </c>
      <c r="E963" s="7" t="n">
        <v>2733</v>
      </c>
      <c r="F963" s="7" t="n">
        <v>1803.78</v>
      </c>
      <c r="G963" s="7">
        <f>E963-F963</f>
        <v/>
      </c>
      <c r="H963" s="8">
        <f>IFERROR(F963/E963,0)</f>
        <v/>
      </c>
      <c r="I963" s="4">
        <f>IF(H963&gt;=1,"超预算",IF(H963&gt;=0.9,"预警","正常"))</f>
        <v/>
      </c>
      <c r="J963" s="4">
        <f>RANK(F963,$F$4:$F$1203,0)</f>
        <v/>
      </c>
      <c r="K963" s="4" t="inlineStr">
        <is>
          <t>完工</t>
        </is>
      </c>
    </row>
    <row r="964">
      <c r="A964" s="4" t="n">
        <v>961</v>
      </c>
      <c r="B964" s="5" t="inlineStr">
        <is>
          <t>PJ-2026-0961</t>
        </is>
      </c>
      <c r="C964" s="6" t="inlineStr">
        <is>
          <t>城东路道路改造工程</t>
        </is>
      </c>
      <c r="D964" s="4" t="inlineStr">
        <is>
          <t>张伟</t>
        </is>
      </c>
      <c r="E964" s="7" t="n">
        <v>2870</v>
      </c>
      <c r="F964" s="7" t="n">
        <v>2726.5</v>
      </c>
      <c r="G964" s="7">
        <f>E964-F964</f>
        <v/>
      </c>
      <c r="H964" s="8">
        <f>IFERROR(F964/E964,0)</f>
        <v/>
      </c>
      <c r="I964" s="4">
        <f>IF(H964&gt;=1,"超预算",IF(H964&gt;=0.9,"预警","正常"))</f>
        <v/>
      </c>
      <c r="J964" s="4">
        <f>RANK(F964,$F$4:$F$1203,0)</f>
        <v/>
      </c>
      <c r="K964" s="4" t="inlineStr">
        <is>
          <t>在建</t>
        </is>
      </c>
    </row>
    <row r="965">
      <c r="A965" s="4" t="n">
        <v>962</v>
      </c>
      <c r="B965" s="5" t="inlineStr">
        <is>
          <t>PJ-2026-0962</t>
        </is>
      </c>
      <c r="C965" s="6" t="inlineStr">
        <is>
          <t>解放路老旧小区改造项目（二期）</t>
        </is>
      </c>
      <c r="D965" s="4" t="inlineStr">
        <is>
          <t>王磊</t>
        </is>
      </c>
      <c r="E965" s="7" t="n">
        <v>3007</v>
      </c>
      <c r="F965" s="7" t="n">
        <v>1623.78</v>
      </c>
      <c r="G965" s="7">
        <f>E965-F965</f>
        <v/>
      </c>
      <c r="H965" s="8">
        <f>IFERROR(F965/E965,0)</f>
        <v/>
      </c>
      <c r="I965" s="4">
        <f>IF(H965&gt;=1,"超预算",IF(H965&gt;=0.9,"预警","正常"))</f>
        <v/>
      </c>
      <c r="J965" s="4">
        <f>RANK(F965,$F$4:$F$1203,0)</f>
        <v/>
      </c>
      <c r="K965" s="4" t="inlineStr">
        <is>
          <t>待启动</t>
        </is>
      </c>
    </row>
    <row r="966">
      <c r="A966" s="4" t="n">
        <v>963</v>
      </c>
      <c r="B966" s="5" t="inlineStr">
        <is>
          <t>PJ-2026-0963</t>
        </is>
      </c>
      <c r="C966" s="6" t="inlineStr">
        <is>
          <t>和平街智慧园区建设项目（三期）</t>
        </is>
      </c>
      <c r="D966" s="4" t="inlineStr">
        <is>
          <t>李涛</t>
        </is>
      </c>
      <c r="E966" s="7" t="n">
        <v>3144</v>
      </c>
      <c r="F966" s="7" t="n">
        <v>2609.52</v>
      </c>
      <c r="G966" s="7">
        <f>E966-F966</f>
        <v/>
      </c>
      <c r="H966" s="8">
        <f>IFERROR(F966/E966,0)</f>
        <v/>
      </c>
      <c r="I966" s="4">
        <f>IF(H966&gt;=1,"超预算",IF(H966&gt;=0.9,"预警","正常"))</f>
        <v/>
      </c>
      <c r="J966" s="4">
        <f>RANK(F966,$F$4:$F$1203,0)</f>
        <v/>
      </c>
      <c r="K966" s="4" t="inlineStr">
        <is>
          <t>完工</t>
        </is>
      </c>
    </row>
    <row r="967">
      <c r="A967" s="4" t="n">
        <v>964</v>
      </c>
      <c r="B967" s="5" t="inlineStr">
        <is>
          <t>PJ-2026-0964</t>
        </is>
      </c>
      <c r="C967" s="6" t="inlineStr">
        <is>
          <t>光明街污水处理扩容工程（四期）</t>
        </is>
      </c>
      <c r="D967" s="4" t="inlineStr">
        <is>
          <t>赵刚</t>
        </is>
      </c>
      <c r="E967" s="7" t="n">
        <v>3281</v>
      </c>
      <c r="F967" s="7" t="n">
        <v>3674.72</v>
      </c>
      <c r="G967" s="7">
        <f>E967-F967</f>
        <v/>
      </c>
      <c r="H967" s="8">
        <f>IFERROR(F967/E967,0)</f>
        <v/>
      </c>
      <c r="I967" s="4">
        <f>IF(H967&gt;=1,"超预算",IF(H967&gt;=0.9,"预警","正常"))</f>
        <v/>
      </c>
      <c r="J967" s="4">
        <f>RANK(F967,$F$4:$F$1203,0)</f>
        <v/>
      </c>
      <c r="K967" s="4" t="inlineStr">
        <is>
          <t>在建</t>
        </is>
      </c>
    </row>
    <row r="968">
      <c r="A968" s="4" t="n">
        <v>965</v>
      </c>
      <c r="B968" s="5" t="inlineStr">
        <is>
          <t>PJ-2026-0965</t>
        </is>
      </c>
      <c r="C968" s="6" t="inlineStr">
        <is>
          <t>城东路供水管网更新工程</t>
        </is>
      </c>
      <c r="D968" s="4" t="inlineStr">
        <is>
          <t>刘静</t>
        </is>
      </c>
      <c r="E968" s="7" t="n">
        <v>3418</v>
      </c>
      <c r="F968" s="7" t="n">
        <v>2426.78</v>
      </c>
      <c r="G968" s="7">
        <f>E968-F968</f>
        <v/>
      </c>
      <c r="H968" s="8">
        <f>IFERROR(F968/E968,0)</f>
        <v/>
      </c>
      <c r="I968" s="4">
        <f>IF(H968&gt;=1,"超预算",IF(H968&gt;=0.9,"预警","正常"))</f>
        <v/>
      </c>
      <c r="J968" s="4">
        <f>RANK(F968,$F$4:$F$1203,0)</f>
        <v/>
      </c>
      <c r="K968" s="4" t="inlineStr">
        <is>
          <t>待启动</t>
        </is>
      </c>
    </row>
    <row r="969">
      <c r="A969" s="4" t="n">
        <v>966</v>
      </c>
      <c r="B969" s="5" t="inlineStr">
        <is>
          <t>PJ-2026-0966</t>
        </is>
      </c>
      <c r="C969" s="6" t="inlineStr">
        <is>
          <t>解放路河道综合整治工程（二期）</t>
        </is>
      </c>
      <c r="D969" s="4" t="inlineStr">
        <is>
          <t>陈艳</t>
        </is>
      </c>
      <c r="E969" s="7" t="n">
        <v>3555</v>
      </c>
      <c r="F969" s="7" t="n">
        <v>3555</v>
      </c>
      <c r="G969" s="7">
        <f>E969-F969</f>
        <v/>
      </c>
      <c r="H969" s="8">
        <f>IFERROR(F969/E969,0)</f>
        <v/>
      </c>
      <c r="I969" s="4">
        <f>IF(H969&gt;=1,"超预算",IF(H969&gt;=0.9,"预警","正常"))</f>
        <v/>
      </c>
      <c r="J969" s="4">
        <f>RANK(F969,$F$4:$F$1203,0)</f>
        <v/>
      </c>
      <c r="K969" s="4" t="inlineStr">
        <is>
          <t>完工</t>
        </is>
      </c>
    </row>
    <row r="970">
      <c r="A970" s="4" t="n">
        <v>967</v>
      </c>
      <c r="B970" s="5" t="inlineStr">
        <is>
          <t>PJ-2026-0967</t>
        </is>
      </c>
      <c r="C970" s="6" t="inlineStr">
        <is>
          <t>和平街学校新建工程（三期）</t>
        </is>
      </c>
      <c r="D970" s="4" t="inlineStr">
        <is>
          <t>杨英</t>
        </is>
      </c>
      <c r="E970" s="7" t="n">
        <v>3692</v>
      </c>
      <c r="F970" s="7" t="n">
        <v>2178.28</v>
      </c>
      <c r="G970" s="7">
        <f>E970-F970</f>
        <v/>
      </c>
      <c r="H970" s="8">
        <f>IFERROR(F970/E970,0)</f>
        <v/>
      </c>
      <c r="I970" s="4">
        <f>IF(H970&gt;=1,"超预算",IF(H970&gt;=0.9,"预警","正常"))</f>
        <v/>
      </c>
      <c r="J970" s="4">
        <f>RANK(F970,$F$4:$F$1203,0)</f>
        <v/>
      </c>
      <c r="K970" s="4" t="inlineStr">
        <is>
          <t>在建</t>
        </is>
      </c>
    </row>
    <row r="971">
      <c r="A971" s="4" t="n">
        <v>968</v>
      </c>
      <c r="B971" s="5" t="inlineStr">
        <is>
          <t>PJ-2026-0968</t>
        </is>
      </c>
      <c r="C971" s="6" t="inlineStr">
        <is>
          <t>光明街医院改扩建项目（四期）</t>
        </is>
      </c>
      <c r="D971" s="4" t="inlineStr">
        <is>
          <t>黄芳</t>
        </is>
      </c>
      <c r="E971" s="7" t="n">
        <v>3829</v>
      </c>
      <c r="F971" s="7" t="n">
        <v>3369.52</v>
      </c>
      <c r="G971" s="7">
        <f>E971-F971</f>
        <v/>
      </c>
      <c r="H971" s="8">
        <f>IFERROR(F971/E971,0)</f>
        <v/>
      </c>
      <c r="I971" s="4">
        <f>IF(H971&gt;=1,"超预算",IF(H971&gt;=0.9,"预警","正常"))</f>
        <v/>
      </c>
      <c r="J971" s="4">
        <f>RANK(F971,$F$4:$F$1203,0)</f>
        <v/>
      </c>
      <c r="K971" s="4" t="inlineStr">
        <is>
          <t>待启动</t>
        </is>
      </c>
    </row>
    <row r="972">
      <c r="A972" s="4" t="n">
        <v>969</v>
      </c>
      <c r="B972" s="5" t="inlineStr">
        <is>
          <t>PJ-2026-0969</t>
        </is>
      </c>
      <c r="C972" s="6" t="inlineStr">
        <is>
          <t>城东路公交枢纽建设工程</t>
        </is>
      </c>
      <c r="D972" s="4" t="inlineStr">
        <is>
          <t>周军</t>
        </is>
      </c>
      <c r="E972" s="7" t="n">
        <v>3966</v>
      </c>
      <c r="F972" s="7" t="n">
        <v>1864.02</v>
      </c>
      <c r="G972" s="7">
        <f>E972-F972</f>
        <v/>
      </c>
      <c r="H972" s="8">
        <f>IFERROR(F972/E972,0)</f>
        <v/>
      </c>
      <c r="I972" s="4">
        <f>IF(H972&gt;=1,"超预算",IF(H972&gt;=0.9,"预警","正常"))</f>
        <v/>
      </c>
      <c r="J972" s="4">
        <f>RANK(F972,$F$4:$F$1203,0)</f>
        <v/>
      </c>
      <c r="K972" s="4" t="inlineStr">
        <is>
          <t>完工</t>
        </is>
      </c>
    </row>
    <row r="973">
      <c r="A973" s="4" t="n">
        <v>970</v>
      </c>
      <c r="B973" s="5" t="inlineStr">
        <is>
          <t>PJ-2026-0970</t>
        </is>
      </c>
      <c r="C973" s="6" t="inlineStr">
        <is>
          <t>解放路公共停车场建设工程（二期）</t>
        </is>
      </c>
      <c r="D973" s="4" t="inlineStr">
        <is>
          <t>吴明</t>
        </is>
      </c>
      <c r="E973" s="7" t="n">
        <v>4103</v>
      </c>
      <c r="F973" s="7" t="n">
        <v>3118.28</v>
      </c>
      <c r="G973" s="7">
        <f>E973-F973</f>
        <v/>
      </c>
      <c r="H973" s="8">
        <f>IFERROR(F973/E973,0)</f>
        <v/>
      </c>
      <c r="I973" s="4">
        <f>IF(H973&gt;=1,"超预算",IF(H973&gt;=0.9,"预警","正常"))</f>
        <v/>
      </c>
      <c r="J973" s="4">
        <f>RANK(F973,$F$4:$F$1203,0)</f>
        <v/>
      </c>
      <c r="K973" s="4" t="inlineStr">
        <is>
          <t>在建</t>
        </is>
      </c>
    </row>
    <row r="974">
      <c r="A974" s="4" t="n">
        <v>971</v>
      </c>
      <c r="B974" s="5" t="inlineStr">
        <is>
          <t>PJ-2026-0971</t>
        </is>
      </c>
      <c r="C974" s="6" t="inlineStr">
        <is>
          <t>和平街道路改造工程（三期）</t>
        </is>
      </c>
      <c r="D974" s="4" t="inlineStr">
        <is>
          <t>徐桂</t>
        </is>
      </c>
      <c r="E974" s="7" t="n">
        <v>4240</v>
      </c>
      <c r="F974" s="7" t="n">
        <v>4452</v>
      </c>
      <c r="G974" s="7">
        <f>E974-F974</f>
        <v/>
      </c>
      <c r="H974" s="8">
        <f>IFERROR(F974/E974,0)</f>
        <v/>
      </c>
      <c r="I974" s="4">
        <f>IF(H974&gt;=1,"超预算",IF(H974&gt;=0.9,"预警","正常"))</f>
        <v/>
      </c>
      <c r="J974" s="4">
        <f>RANK(F974,$F$4:$F$1203,0)</f>
        <v/>
      </c>
      <c r="K974" s="4" t="inlineStr">
        <is>
          <t>待启动</t>
        </is>
      </c>
    </row>
    <row r="975">
      <c r="A975" s="4" t="n">
        <v>972</v>
      </c>
      <c r="B975" s="5" t="inlineStr">
        <is>
          <t>PJ-2026-0972</t>
        </is>
      </c>
      <c r="C975" s="6" t="inlineStr">
        <is>
          <t>光明街老旧小区改造项目（四期）</t>
        </is>
      </c>
      <c r="D975" s="4" t="inlineStr">
        <is>
          <t>孙丽</t>
        </is>
      </c>
      <c r="E975" s="7" t="n">
        <v>4377</v>
      </c>
      <c r="F975" s="7" t="n">
        <v>2801.28</v>
      </c>
      <c r="G975" s="7">
        <f>E975-F975</f>
        <v/>
      </c>
      <c r="H975" s="8">
        <f>IFERROR(F975/E975,0)</f>
        <v/>
      </c>
      <c r="I975" s="4">
        <f>IF(H975&gt;=1,"超预算",IF(H975&gt;=0.9,"预警","正常"))</f>
        <v/>
      </c>
      <c r="J975" s="4">
        <f>RANK(F975,$F$4:$F$1203,0)</f>
        <v/>
      </c>
      <c r="K975" s="4" t="inlineStr">
        <is>
          <t>完工</t>
        </is>
      </c>
    </row>
    <row r="976">
      <c r="A976" s="4" t="n">
        <v>973</v>
      </c>
      <c r="B976" s="5" t="inlineStr">
        <is>
          <t>PJ-2026-0973</t>
        </is>
      </c>
      <c r="C976" s="6" t="inlineStr">
        <is>
          <t>城东路智慧园区建设项目</t>
        </is>
      </c>
      <c r="D976" s="4" t="inlineStr">
        <is>
          <t>马杰</t>
        </is>
      </c>
      <c r="E976" s="7" t="n">
        <v>4514</v>
      </c>
      <c r="F976" s="7" t="n">
        <v>4198.02</v>
      </c>
      <c r="G976" s="7">
        <f>E976-F976</f>
        <v/>
      </c>
      <c r="H976" s="8">
        <f>IFERROR(F976/E976,0)</f>
        <v/>
      </c>
      <c r="I976" s="4">
        <f>IF(H976&gt;=1,"超预算",IF(H976&gt;=0.9,"预警","正常"))</f>
        <v/>
      </c>
      <c r="J976" s="4">
        <f>RANK(F976,$F$4:$F$1203,0)</f>
        <v/>
      </c>
      <c r="K976" s="4" t="inlineStr">
        <is>
          <t>在建</t>
        </is>
      </c>
    </row>
    <row r="977">
      <c r="A977" s="4" t="n">
        <v>974</v>
      </c>
      <c r="B977" s="5" t="inlineStr">
        <is>
          <t>PJ-2026-0974</t>
        </is>
      </c>
      <c r="C977" s="6" t="inlineStr">
        <is>
          <t>解放路污水处理扩容工程（二期）</t>
        </is>
      </c>
      <c r="D977" s="4" t="inlineStr">
        <is>
          <t>朱霞</t>
        </is>
      </c>
      <c r="E977" s="7" t="n">
        <v>4651</v>
      </c>
      <c r="F977" s="7" t="n">
        <v>2418.52</v>
      </c>
      <c r="G977" s="7">
        <f>E977-F977</f>
        <v/>
      </c>
      <c r="H977" s="8">
        <f>IFERROR(F977/E977,0)</f>
        <v/>
      </c>
      <c r="I977" s="4">
        <f>IF(H977&gt;=1,"超预算",IF(H977&gt;=0.9,"预警","正常"))</f>
        <v/>
      </c>
      <c r="J977" s="4">
        <f>RANK(F977,$F$4:$F$1203,0)</f>
        <v/>
      </c>
      <c r="K977" s="4" t="inlineStr">
        <is>
          <t>待启动</t>
        </is>
      </c>
    </row>
    <row r="978">
      <c r="A978" s="4" t="n">
        <v>975</v>
      </c>
      <c r="B978" s="5" t="inlineStr">
        <is>
          <t>PJ-2026-0975</t>
        </is>
      </c>
      <c r="C978" s="6" t="inlineStr">
        <is>
          <t>和平街供水管网更新工程（三期）</t>
        </is>
      </c>
      <c r="D978" s="4" t="inlineStr">
        <is>
          <t>胡娜</t>
        </is>
      </c>
      <c r="E978" s="7" t="n">
        <v>4788</v>
      </c>
      <c r="F978" s="7" t="n">
        <v>3878.28</v>
      </c>
      <c r="G978" s="7">
        <f>E978-F978</f>
        <v/>
      </c>
      <c r="H978" s="8">
        <f>IFERROR(F978/E978,0)</f>
        <v/>
      </c>
      <c r="I978" s="4">
        <f>IF(H978&gt;=1,"超预算",IF(H978&gt;=0.9,"预警","正常"))</f>
        <v/>
      </c>
      <c r="J978" s="4">
        <f>RANK(F978,$F$4:$F$1203,0)</f>
        <v/>
      </c>
      <c r="K978" s="4" t="inlineStr">
        <is>
          <t>完工</t>
        </is>
      </c>
    </row>
    <row r="979">
      <c r="A979" s="4" t="n">
        <v>976</v>
      </c>
      <c r="B979" s="5" t="inlineStr">
        <is>
          <t>PJ-2026-0976</t>
        </is>
      </c>
      <c r="C979" s="6" t="inlineStr">
        <is>
          <t>光明街河道综合整治工程（四期）</t>
        </is>
      </c>
      <c r="D979" s="4" t="inlineStr">
        <is>
          <t>郭洋</t>
        </is>
      </c>
      <c r="E979" s="7" t="n">
        <v>4925</v>
      </c>
      <c r="F979" s="7" t="n">
        <v>5417.5</v>
      </c>
      <c r="G979" s="7">
        <f>E979-F979</f>
        <v/>
      </c>
      <c r="H979" s="8">
        <f>IFERROR(F979/E979,0)</f>
        <v/>
      </c>
      <c r="I979" s="4">
        <f>IF(H979&gt;=1,"超预算",IF(H979&gt;=0.9,"预警","正常"))</f>
        <v/>
      </c>
      <c r="J979" s="4">
        <f>RANK(F979,$F$4:$F$1203,0)</f>
        <v/>
      </c>
      <c r="K979" s="4" t="inlineStr">
        <is>
          <t>在建</t>
        </is>
      </c>
    </row>
    <row r="980">
      <c r="A980" s="4" t="n">
        <v>977</v>
      </c>
      <c r="B980" s="5" t="inlineStr">
        <is>
          <t>PJ-2026-0977</t>
        </is>
      </c>
      <c r="C980" s="6" t="inlineStr">
        <is>
          <t>城东路学校新建工程</t>
        </is>
      </c>
      <c r="D980" s="4" t="inlineStr">
        <is>
          <t>何超</t>
        </is>
      </c>
      <c r="E980" s="7" t="n">
        <v>112</v>
      </c>
      <c r="F980" s="7" t="n">
        <v>77.28</v>
      </c>
      <c r="G980" s="7">
        <f>E980-F980</f>
        <v/>
      </c>
      <c r="H980" s="8">
        <f>IFERROR(F980/E980,0)</f>
        <v/>
      </c>
      <c r="I980" s="4">
        <f>IF(H980&gt;=1,"超预算",IF(H980&gt;=0.9,"预警","正常"))</f>
        <v/>
      </c>
      <c r="J980" s="4">
        <f>RANK(F980,$F$4:$F$1203,0)</f>
        <v/>
      </c>
      <c r="K980" s="4" t="inlineStr">
        <is>
          <t>待启动</t>
        </is>
      </c>
    </row>
    <row r="981">
      <c r="A981" s="4" t="n">
        <v>978</v>
      </c>
      <c r="B981" s="5" t="inlineStr">
        <is>
          <t>PJ-2026-0978</t>
        </is>
      </c>
      <c r="C981" s="6" t="inlineStr">
        <is>
          <t>解放路医院改扩建项目（二期）</t>
        </is>
      </c>
      <c r="D981" s="4" t="inlineStr">
        <is>
          <t>高英</t>
        </is>
      </c>
      <c r="E981" s="7" t="n">
        <v>249</v>
      </c>
      <c r="F981" s="7" t="n">
        <v>244.02</v>
      </c>
      <c r="G981" s="7">
        <f>E981-F981</f>
        <v/>
      </c>
      <c r="H981" s="8">
        <f>IFERROR(F981/E981,0)</f>
        <v/>
      </c>
      <c r="I981" s="4">
        <f>IF(H981&gt;=1,"超预算",IF(H981&gt;=0.9,"预警","正常"))</f>
        <v/>
      </c>
      <c r="J981" s="4">
        <f>RANK(F981,$F$4:$F$1203,0)</f>
        <v/>
      </c>
      <c r="K981" s="4" t="inlineStr">
        <is>
          <t>完工</t>
        </is>
      </c>
    </row>
    <row r="982">
      <c r="A982" s="4" t="n">
        <v>979</v>
      </c>
      <c r="B982" s="5" t="inlineStr">
        <is>
          <t>PJ-2026-0979</t>
        </is>
      </c>
      <c r="C982" s="6" t="inlineStr">
        <is>
          <t>和平街公交枢纽建设工程（三期）</t>
        </is>
      </c>
      <c r="D982" s="4" t="inlineStr">
        <is>
          <t>林强</t>
        </is>
      </c>
      <c r="E982" s="7" t="n">
        <v>386</v>
      </c>
      <c r="F982" s="7" t="n">
        <v>220.02</v>
      </c>
      <c r="G982" s="7">
        <f>E982-F982</f>
        <v/>
      </c>
      <c r="H982" s="8">
        <f>IFERROR(F982/E982,0)</f>
        <v/>
      </c>
      <c r="I982" s="4">
        <f>IF(H982&gt;=1,"超预算",IF(H982&gt;=0.9,"预警","正常"))</f>
        <v/>
      </c>
      <c r="J982" s="4">
        <f>RANK(F982,$F$4:$F$1203,0)</f>
        <v/>
      </c>
      <c r="K982" s="4" t="inlineStr">
        <is>
          <t>在建</t>
        </is>
      </c>
    </row>
    <row r="983">
      <c r="A983" s="4" t="n">
        <v>980</v>
      </c>
      <c r="B983" s="5" t="inlineStr">
        <is>
          <t>PJ-2026-0980</t>
        </is>
      </c>
      <c r="C983" s="6" t="inlineStr">
        <is>
          <t>光明街公共停车场建设工程（四期）</t>
        </is>
      </c>
      <c r="D983" s="4" t="inlineStr">
        <is>
          <t>罗娟</t>
        </is>
      </c>
      <c r="E983" s="7" t="n">
        <v>523</v>
      </c>
      <c r="F983" s="7" t="n">
        <v>449.78</v>
      </c>
      <c r="G983" s="7">
        <f>E983-F983</f>
        <v/>
      </c>
      <c r="H983" s="8">
        <f>IFERROR(F983/E983,0)</f>
        <v/>
      </c>
      <c r="I983" s="4">
        <f>IF(H983&gt;=1,"超预算",IF(H983&gt;=0.9,"预警","正常"))</f>
        <v/>
      </c>
      <c r="J983" s="4">
        <f>RANK(F983,$F$4:$F$1203,0)</f>
        <v/>
      </c>
      <c r="K983" s="4" t="inlineStr">
        <is>
          <t>待启动</t>
        </is>
      </c>
    </row>
    <row r="984">
      <c r="A984" s="4" t="n">
        <v>981</v>
      </c>
      <c r="B984" s="5" t="inlineStr">
        <is>
          <t>PJ-2026-0981</t>
        </is>
      </c>
      <c r="C984" s="6" t="inlineStr">
        <is>
          <t>城东路道路改造工程</t>
        </is>
      </c>
      <c r="D984" s="4" t="inlineStr">
        <is>
          <t>张平</t>
        </is>
      </c>
      <c r="E984" s="7" t="n">
        <v>660</v>
      </c>
      <c r="F984" s="7" t="n">
        <v>297</v>
      </c>
      <c r="G984" s="7">
        <f>E984-F984</f>
        <v/>
      </c>
      <c r="H984" s="8">
        <f>IFERROR(F984/E984,0)</f>
        <v/>
      </c>
      <c r="I984" s="4">
        <f>IF(H984&gt;=1,"超预算",IF(H984&gt;=0.9,"预警","正常"))</f>
        <v/>
      </c>
      <c r="J984" s="4">
        <f>RANK(F984,$F$4:$F$1203,0)</f>
        <v/>
      </c>
      <c r="K984" s="4" t="inlineStr">
        <is>
          <t>完工</t>
        </is>
      </c>
    </row>
    <row r="985">
      <c r="A985" s="4" t="n">
        <v>982</v>
      </c>
      <c r="B985" s="5" t="inlineStr">
        <is>
          <t>PJ-2026-0982</t>
        </is>
      </c>
      <c r="C985" s="6" t="inlineStr">
        <is>
          <t>解放路老旧小区改造项目（二期）</t>
        </is>
      </c>
      <c r="D985" s="4" t="inlineStr">
        <is>
          <t>王敏</t>
        </is>
      </c>
      <c r="E985" s="7" t="n">
        <v>797</v>
      </c>
      <c r="F985" s="7" t="n">
        <v>589.78</v>
      </c>
      <c r="G985" s="7">
        <f>E985-F985</f>
        <v/>
      </c>
      <c r="H985" s="8">
        <f>IFERROR(F985/E985,0)</f>
        <v/>
      </c>
      <c r="I985" s="4">
        <f>IF(H985&gt;=1,"超预算",IF(H985&gt;=0.9,"预警","正常"))</f>
        <v/>
      </c>
      <c r="J985" s="4">
        <f>RANK(F985,$F$4:$F$1203,0)</f>
        <v/>
      </c>
      <c r="K985" s="4" t="inlineStr">
        <is>
          <t>在建</t>
        </is>
      </c>
    </row>
    <row r="986">
      <c r="A986" s="4" t="n">
        <v>983</v>
      </c>
      <c r="B986" s="5" t="inlineStr">
        <is>
          <t>PJ-2026-0983</t>
        </is>
      </c>
      <c r="C986" s="6" t="inlineStr">
        <is>
          <t>和平街智慧园区建设项目（三期）</t>
        </is>
      </c>
      <c r="D986" s="4" t="inlineStr">
        <is>
          <t>李勇</t>
        </is>
      </c>
      <c r="E986" s="7" t="n">
        <v>934</v>
      </c>
      <c r="F986" s="7" t="n">
        <v>962.02</v>
      </c>
      <c r="G986" s="7">
        <f>E986-F986</f>
        <v/>
      </c>
      <c r="H986" s="8">
        <f>IFERROR(F986/E986,0)</f>
        <v/>
      </c>
      <c r="I986" s="4">
        <f>IF(H986&gt;=1,"超预算",IF(H986&gt;=0.9,"预警","正常"))</f>
        <v/>
      </c>
      <c r="J986" s="4">
        <f>RANK(F986,$F$4:$F$1203,0)</f>
        <v/>
      </c>
      <c r="K986" s="4" t="inlineStr">
        <is>
          <t>待启动</t>
        </is>
      </c>
    </row>
    <row r="987">
      <c r="A987" s="4" t="n">
        <v>984</v>
      </c>
      <c r="B987" s="5" t="inlineStr">
        <is>
          <t>PJ-2026-0984</t>
        </is>
      </c>
      <c r="C987" s="6" t="inlineStr">
        <is>
          <t>光明街污水处理扩容工程（四期）</t>
        </is>
      </c>
      <c r="D987" s="4" t="inlineStr">
        <is>
          <t>赵秀</t>
        </is>
      </c>
      <c r="E987" s="7" t="n">
        <v>1071</v>
      </c>
      <c r="F987" s="7" t="n">
        <v>664.02</v>
      </c>
      <c r="G987" s="7">
        <f>E987-F987</f>
        <v/>
      </c>
      <c r="H987" s="8">
        <f>IFERROR(F987/E987,0)</f>
        <v/>
      </c>
      <c r="I987" s="4">
        <f>IF(H987&gt;=1,"超预算",IF(H987&gt;=0.9,"预警","正常"))</f>
        <v/>
      </c>
      <c r="J987" s="4">
        <f>RANK(F987,$F$4:$F$1203,0)</f>
        <v/>
      </c>
      <c r="K987" s="4" t="inlineStr">
        <is>
          <t>完工</t>
        </is>
      </c>
    </row>
    <row r="988">
      <c r="A988" s="4" t="n">
        <v>985</v>
      </c>
      <c r="B988" s="5" t="inlineStr">
        <is>
          <t>PJ-2026-0985</t>
        </is>
      </c>
      <c r="C988" s="6" t="inlineStr">
        <is>
          <t>城东路供水管网更新工程</t>
        </is>
      </c>
      <c r="D988" s="4" t="inlineStr">
        <is>
          <t>刘伟</t>
        </is>
      </c>
      <c r="E988" s="7" t="n">
        <v>1208</v>
      </c>
      <c r="F988" s="7" t="n">
        <v>1099.28</v>
      </c>
      <c r="G988" s="7">
        <f>E988-F988</f>
        <v/>
      </c>
      <c r="H988" s="8">
        <f>IFERROR(F988/E988,0)</f>
        <v/>
      </c>
      <c r="I988" s="4">
        <f>IF(H988&gt;=1,"超预算",IF(H988&gt;=0.9,"预警","正常"))</f>
        <v/>
      </c>
      <c r="J988" s="4">
        <f>RANK(F988,$F$4:$F$1203,0)</f>
        <v/>
      </c>
      <c r="K988" s="4" t="inlineStr">
        <is>
          <t>在建</t>
        </is>
      </c>
    </row>
    <row r="989">
      <c r="A989" s="4" t="n">
        <v>986</v>
      </c>
      <c r="B989" s="5" t="inlineStr">
        <is>
          <t>PJ-2026-0986</t>
        </is>
      </c>
      <c r="C989" s="6" t="inlineStr">
        <is>
          <t>解放路河道综合整治工程（二期）</t>
        </is>
      </c>
      <c r="D989" s="4" t="inlineStr">
        <is>
          <t>陈磊</t>
        </is>
      </c>
      <c r="E989" s="7" t="n">
        <v>1345</v>
      </c>
      <c r="F989" s="7" t="n">
        <v>672.5</v>
      </c>
      <c r="G989" s="7">
        <f>E989-F989</f>
        <v/>
      </c>
      <c r="H989" s="8">
        <f>IFERROR(F989/E989,0)</f>
        <v/>
      </c>
      <c r="I989" s="4">
        <f>IF(H989&gt;=1,"超预算",IF(H989&gt;=0.9,"预警","正常"))</f>
        <v/>
      </c>
      <c r="J989" s="4">
        <f>RANK(F989,$F$4:$F$1203,0)</f>
        <v/>
      </c>
      <c r="K989" s="4" t="inlineStr">
        <is>
          <t>待启动</t>
        </is>
      </c>
    </row>
    <row r="990">
      <c r="A990" s="4" t="n">
        <v>987</v>
      </c>
      <c r="B990" s="5" t="inlineStr">
        <is>
          <t>PJ-2026-0987</t>
        </is>
      </c>
      <c r="C990" s="6" t="inlineStr">
        <is>
          <t>和平街学校新建工程（三期）</t>
        </is>
      </c>
      <c r="D990" s="4" t="inlineStr">
        <is>
          <t>杨涛</t>
        </is>
      </c>
      <c r="E990" s="7" t="n">
        <v>1482</v>
      </c>
      <c r="F990" s="7" t="n">
        <v>1170.78</v>
      </c>
      <c r="G990" s="7">
        <f>E990-F990</f>
        <v/>
      </c>
      <c r="H990" s="8">
        <f>IFERROR(F990/E990,0)</f>
        <v/>
      </c>
      <c r="I990" s="4">
        <f>IF(H990&gt;=1,"超预算",IF(H990&gt;=0.9,"预警","正常"))</f>
        <v/>
      </c>
      <c r="J990" s="4">
        <f>RANK(F990,$F$4:$F$1203,0)</f>
        <v/>
      </c>
      <c r="K990" s="4" t="inlineStr">
        <is>
          <t>完工</t>
        </is>
      </c>
    </row>
    <row r="991">
      <c r="A991" s="4" t="n">
        <v>988</v>
      </c>
      <c r="B991" s="5" t="inlineStr">
        <is>
          <t>PJ-2026-0988</t>
        </is>
      </c>
      <c r="C991" s="6" t="inlineStr">
        <is>
          <t>光明街医院改扩建项目（四期）</t>
        </is>
      </c>
      <c r="D991" s="4" t="inlineStr">
        <is>
          <t>黄刚</t>
        </is>
      </c>
      <c r="E991" s="7" t="n">
        <v>1619</v>
      </c>
      <c r="F991" s="7" t="n">
        <v>1748.52</v>
      </c>
      <c r="G991" s="7">
        <f>E991-F991</f>
        <v/>
      </c>
      <c r="H991" s="8">
        <f>IFERROR(F991/E991,0)</f>
        <v/>
      </c>
      <c r="I991" s="4">
        <f>IF(H991&gt;=1,"超预算",IF(H991&gt;=0.9,"预警","正常"))</f>
        <v/>
      </c>
      <c r="J991" s="4">
        <f>RANK(F991,$F$4:$F$1203,0)</f>
        <v/>
      </c>
      <c r="K991" s="4" t="inlineStr">
        <is>
          <t>在建</t>
        </is>
      </c>
    </row>
    <row r="992">
      <c r="A992" s="4" t="n">
        <v>989</v>
      </c>
      <c r="B992" s="5" t="inlineStr">
        <is>
          <t>PJ-2026-0989</t>
        </is>
      </c>
      <c r="C992" s="6" t="inlineStr">
        <is>
          <t>城东路公交枢纽建设工程</t>
        </is>
      </c>
      <c r="D992" s="4" t="inlineStr">
        <is>
          <t>周静</t>
        </is>
      </c>
      <c r="E992" s="7" t="n">
        <v>1756</v>
      </c>
      <c r="F992" s="7" t="n">
        <v>1176.52</v>
      </c>
      <c r="G992" s="7">
        <f>E992-F992</f>
        <v/>
      </c>
      <c r="H992" s="8">
        <f>IFERROR(F992/E992,0)</f>
        <v/>
      </c>
      <c r="I992" s="4">
        <f>IF(H992&gt;=1,"超预算",IF(H992&gt;=0.9,"预警","正常"))</f>
        <v/>
      </c>
      <c r="J992" s="4">
        <f>RANK(F992,$F$4:$F$1203,0)</f>
        <v/>
      </c>
      <c r="K992" s="4" t="inlineStr">
        <is>
          <t>待启动</t>
        </is>
      </c>
    </row>
    <row r="993">
      <c r="A993" s="4" t="n">
        <v>990</v>
      </c>
      <c r="B993" s="5" t="inlineStr">
        <is>
          <t>PJ-2026-0990</t>
        </is>
      </c>
      <c r="C993" s="6" t="inlineStr">
        <is>
          <t>解放路公共停车场建设工程（二期）</t>
        </is>
      </c>
      <c r="D993" s="4" t="inlineStr">
        <is>
          <t>吴艳</t>
        </is>
      </c>
      <c r="E993" s="7" t="n">
        <v>1893</v>
      </c>
      <c r="F993" s="7" t="n">
        <v>1817.28</v>
      </c>
      <c r="G993" s="7">
        <f>E993-F993</f>
        <v/>
      </c>
      <c r="H993" s="8">
        <f>IFERROR(F993/E993,0)</f>
        <v/>
      </c>
      <c r="I993" s="4">
        <f>IF(H993&gt;=1,"超预算",IF(H993&gt;=0.9,"预警","正常"))</f>
        <v/>
      </c>
      <c r="J993" s="4">
        <f>RANK(F993,$F$4:$F$1203,0)</f>
        <v/>
      </c>
      <c r="K993" s="4" t="inlineStr">
        <is>
          <t>完工</t>
        </is>
      </c>
    </row>
    <row r="994">
      <c r="A994" s="4" t="n">
        <v>991</v>
      </c>
      <c r="B994" s="5" t="inlineStr">
        <is>
          <t>PJ-2026-0991</t>
        </is>
      </c>
      <c r="C994" s="6" t="inlineStr">
        <is>
          <t>和平街道路改造工程（三期）</t>
        </is>
      </c>
      <c r="D994" s="4" t="inlineStr">
        <is>
          <t>徐英</t>
        </is>
      </c>
      <c r="E994" s="7" t="n">
        <v>2030</v>
      </c>
      <c r="F994" s="7" t="n">
        <v>1116.5</v>
      </c>
      <c r="G994" s="7">
        <f>E994-F994</f>
        <v/>
      </c>
      <c r="H994" s="8">
        <f>IFERROR(F994/E994,0)</f>
        <v/>
      </c>
      <c r="I994" s="4">
        <f>IF(H994&gt;=1,"超预算",IF(H994&gt;=0.9,"预警","正常"))</f>
        <v/>
      </c>
      <c r="J994" s="4">
        <f>RANK(F994,$F$4:$F$1203,0)</f>
        <v/>
      </c>
      <c r="K994" s="4" t="inlineStr">
        <is>
          <t>在建</t>
        </is>
      </c>
    </row>
    <row r="995">
      <c r="A995" s="4" t="n">
        <v>992</v>
      </c>
      <c r="B995" s="5" t="inlineStr">
        <is>
          <t>PJ-2026-0992</t>
        </is>
      </c>
      <c r="C995" s="6" t="inlineStr">
        <is>
          <t>光明街老旧小区改造项目（四期）</t>
        </is>
      </c>
      <c r="D995" s="4" t="inlineStr">
        <is>
          <t>孙芳</t>
        </is>
      </c>
      <c r="E995" s="7" t="n">
        <v>2167</v>
      </c>
      <c r="F995" s="7" t="n">
        <v>1820.28</v>
      </c>
      <c r="G995" s="7">
        <f>E995-F995</f>
        <v/>
      </c>
      <c r="H995" s="8">
        <f>IFERROR(F995/E995,0)</f>
        <v/>
      </c>
      <c r="I995" s="4">
        <f>IF(H995&gt;=1,"超预算",IF(H995&gt;=0.9,"预警","正常"))</f>
        <v/>
      </c>
      <c r="J995" s="4">
        <f>RANK(F995,$F$4:$F$1203,0)</f>
        <v/>
      </c>
      <c r="K995" s="4" t="inlineStr">
        <is>
          <t>待启动</t>
        </is>
      </c>
    </row>
    <row r="996">
      <c r="A996" s="4" t="n">
        <v>993</v>
      </c>
      <c r="B996" s="5" t="inlineStr">
        <is>
          <t>PJ-2026-0993</t>
        </is>
      </c>
      <c r="C996" s="6" t="inlineStr">
        <is>
          <t>城东路智慧园区建设项目</t>
        </is>
      </c>
      <c r="D996" s="4" t="inlineStr">
        <is>
          <t>马军</t>
        </is>
      </c>
      <c r="E996" s="7" t="n">
        <v>2304</v>
      </c>
      <c r="F996" s="7" t="n">
        <v>2603.52</v>
      </c>
      <c r="G996" s="7">
        <f>E996-F996</f>
        <v/>
      </c>
      <c r="H996" s="8">
        <f>IFERROR(F996/E996,0)</f>
        <v/>
      </c>
      <c r="I996" s="4">
        <f>IF(H996&gt;=1,"超预算",IF(H996&gt;=0.9,"预警","正常"))</f>
        <v/>
      </c>
      <c r="J996" s="4">
        <f>RANK(F996,$F$4:$F$1203,0)</f>
        <v/>
      </c>
      <c r="K996" s="4" t="inlineStr">
        <is>
          <t>完工</t>
        </is>
      </c>
    </row>
    <row r="997">
      <c r="A997" s="4" t="n">
        <v>994</v>
      </c>
      <c r="B997" s="5" t="inlineStr">
        <is>
          <t>PJ-2026-0994</t>
        </is>
      </c>
      <c r="C997" s="6" t="inlineStr">
        <is>
          <t>解放路污水处理扩容工程（二期）</t>
        </is>
      </c>
      <c r="D997" s="4" t="inlineStr">
        <is>
          <t>朱明</t>
        </is>
      </c>
      <c r="E997" s="7" t="n">
        <v>2441</v>
      </c>
      <c r="F997" s="7" t="n">
        <v>1757.52</v>
      </c>
      <c r="G997" s="7">
        <f>E997-F997</f>
        <v/>
      </c>
      <c r="H997" s="8">
        <f>IFERROR(F997/E997,0)</f>
        <v/>
      </c>
      <c r="I997" s="4">
        <f>IF(H997&gt;=1,"超预算",IF(H997&gt;=0.9,"预警","正常"))</f>
        <v/>
      </c>
      <c r="J997" s="4">
        <f>RANK(F997,$F$4:$F$1203,0)</f>
        <v/>
      </c>
      <c r="K997" s="4" t="inlineStr">
        <is>
          <t>在建</t>
        </is>
      </c>
    </row>
    <row r="998">
      <c r="A998" s="4" t="n">
        <v>995</v>
      </c>
      <c r="B998" s="5" t="inlineStr">
        <is>
          <t>PJ-2026-0995</t>
        </is>
      </c>
      <c r="C998" s="6" t="inlineStr">
        <is>
          <t>和平街供水管网更新工程（三期）</t>
        </is>
      </c>
      <c r="D998" s="4" t="inlineStr">
        <is>
          <t>胡桂</t>
        </is>
      </c>
      <c r="E998" s="7" t="n">
        <v>2578</v>
      </c>
      <c r="F998" s="7" t="n">
        <v>2603.78</v>
      </c>
      <c r="G998" s="7">
        <f>E998-F998</f>
        <v/>
      </c>
      <c r="H998" s="8">
        <f>IFERROR(F998/E998,0)</f>
        <v/>
      </c>
      <c r="I998" s="4">
        <f>IF(H998&gt;=1,"超预算",IF(H998&gt;=0.9,"预警","正常"))</f>
        <v/>
      </c>
      <c r="J998" s="4">
        <f>RANK(F998,$F$4:$F$1203,0)</f>
        <v/>
      </c>
      <c r="K998" s="4" t="inlineStr">
        <is>
          <t>待启动</t>
        </is>
      </c>
    </row>
    <row r="999">
      <c r="A999" s="4" t="n">
        <v>996</v>
      </c>
      <c r="B999" s="5" t="inlineStr">
        <is>
          <t>PJ-2026-0996</t>
        </is>
      </c>
      <c r="C999" s="6" t="inlineStr">
        <is>
          <t>光明街河道综合整治工程（四期）</t>
        </is>
      </c>
      <c r="D999" s="4" t="inlineStr">
        <is>
          <t>郭丽</t>
        </is>
      </c>
      <c r="E999" s="7" t="n">
        <v>2715</v>
      </c>
      <c r="F999" s="7" t="n">
        <v>1629</v>
      </c>
      <c r="G999" s="7">
        <f>E999-F999</f>
        <v/>
      </c>
      <c r="H999" s="8">
        <f>IFERROR(F999/E999,0)</f>
        <v/>
      </c>
      <c r="I999" s="4">
        <f>IF(H999&gt;=1,"超预算",IF(H999&gt;=0.9,"预警","正常"))</f>
        <v/>
      </c>
      <c r="J999" s="4">
        <f>RANK(F999,$F$4:$F$1203,0)</f>
        <v/>
      </c>
      <c r="K999" s="4" t="inlineStr">
        <is>
          <t>完工</t>
        </is>
      </c>
    </row>
    <row r="1000">
      <c r="A1000" s="4" t="n">
        <v>997</v>
      </c>
      <c r="B1000" s="5" t="inlineStr">
        <is>
          <t>PJ-2026-0997</t>
        </is>
      </c>
      <c r="C1000" s="6" t="inlineStr">
        <is>
          <t>城东路学校新建工程</t>
        </is>
      </c>
      <c r="D1000" s="4" t="inlineStr">
        <is>
          <t>何杰</t>
        </is>
      </c>
      <c r="E1000" s="7" t="n">
        <v>2852</v>
      </c>
      <c r="F1000" s="7" t="n">
        <v>2538.28</v>
      </c>
      <c r="G1000" s="7">
        <f>E1000-F1000</f>
        <v/>
      </c>
      <c r="H1000" s="8">
        <f>IFERROR(F1000/E1000,0)</f>
        <v/>
      </c>
      <c r="I1000" s="4">
        <f>IF(H1000&gt;=1,"超预算",IF(H1000&gt;=0.9,"预警","正常"))</f>
        <v/>
      </c>
      <c r="J1000" s="4">
        <f>RANK(F1000,$F$4:$F$1203,0)</f>
        <v/>
      </c>
      <c r="K1000" s="4" t="inlineStr">
        <is>
          <t>在建</t>
        </is>
      </c>
    </row>
    <row r="1001">
      <c r="A1001" s="4" t="n">
        <v>998</v>
      </c>
      <c r="B1001" s="5" t="inlineStr">
        <is>
          <t>PJ-2026-0998</t>
        </is>
      </c>
      <c r="C1001" s="6" t="inlineStr">
        <is>
          <t>解放路医院改扩建项目（二期）</t>
        </is>
      </c>
      <c r="D1001" s="4" t="inlineStr">
        <is>
          <t>高霞</t>
        </is>
      </c>
      <c r="E1001" s="7" t="n">
        <v>2989</v>
      </c>
      <c r="F1001" s="7" t="n">
        <v>1434.72</v>
      </c>
      <c r="G1001" s="7">
        <f>E1001-F1001</f>
        <v/>
      </c>
      <c r="H1001" s="8">
        <f>IFERROR(F1001/E1001,0)</f>
        <v/>
      </c>
      <c r="I1001" s="4">
        <f>IF(H1001&gt;=1,"超预算",IF(H1001&gt;=0.9,"预警","正常"))</f>
        <v/>
      </c>
      <c r="J1001" s="4">
        <f>RANK(F1001,$F$4:$F$1203,0)</f>
        <v/>
      </c>
      <c r="K1001" s="4" t="inlineStr">
        <is>
          <t>待启动</t>
        </is>
      </c>
    </row>
    <row r="1002">
      <c r="A1002" s="4" t="n">
        <v>999</v>
      </c>
      <c r="B1002" s="5" t="inlineStr">
        <is>
          <t>PJ-2026-0999</t>
        </is>
      </c>
      <c r="C1002" s="6" t="inlineStr">
        <is>
          <t>和平街公交枢纽建设工程（三期）</t>
        </is>
      </c>
      <c r="D1002" s="4" t="inlineStr">
        <is>
          <t>林娜</t>
        </is>
      </c>
      <c r="E1002" s="7" t="n">
        <v>3126</v>
      </c>
      <c r="F1002" s="7" t="n">
        <v>2407.02</v>
      </c>
      <c r="G1002" s="7">
        <f>E1002-F1002</f>
        <v/>
      </c>
      <c r="H1002" s="8">
        <f>IFERROR(F1002/E1002,0)</f>
        <v/>
      </c>
      <c r="I1002" s="4">
        <f>IF(H1002&gt;=1,"超预算",IF(H1002&gt;=0.9,"预警","正常"))</f>
        <v/>
      </c>
      <c r="J1002" s="4">
        <f>RANK(F1002,$F$4:$F$1203,0)</f>
        <v/>
      </c>
      <c r="K1002" s="4" t="inlineStr">
        <is>
          <t>完工</t>
        </is>
      </c>
    </row>
    <row r="1003">
      <c r="A1003" s="4" t="n">
        <v>1000</v>
      </c>
      <c r="B1003" s="5" t="inlineStr">
        <is>
          <t>PJ-2026-1000</t>
        </is>
      </c>
      <c r="C1003" s="6" t="inlineStr">
        <is>
          <t>光明街公共停车场建设工程（四期）</t>
        </is>
      </c>
      <c r="D1003" s="4" t="inlineStr">
        <is>
          <t>罗洋</t>
        </is>
      </c>
      <c r="E1003" s="7" t="n">
        <v>3263</v>
      </c>
      <c r="F1003" s="7" t="n">
        <v>3458.78</v>
      </c>
      <c r="G1003" s="7">
        <f>E1003-F1003</f>
        <v/>
      </c>
      <c r="H1003" s="8">
        <f>IFERROR(F1003/E1003,0)</f>
        <v/>
      </c>
      <c r="I1003" s="4">
        <f>IF(H1003&gt;=1,"超预算",IF(H1003&gt;=0.9,"预警","正常"))</f>
        <v/>
      </c>
      <c r="J1003" s="4">
        <f>RANK(F1003,$F$4:$F$1203,0)</f>
        <v/>
      </c>
      <c r="K1003" s="4" t="inlineStr">
        <is>
          <t>在建</t>
        </is>
      </c>
    </row>
    <row r="1004">
      <c r="A1004" s="4" t="n">
        <v>1001</v>
      </c>
      <c r="B1004" s="5" t="inlineStr">
        <is>
          <t>PJ-2026-1001</t>
        </is>
      </c>
      <c r="C1004" s="6" t="inlineStr">
        <is>
          <t>城东路道路改造工程</t>
        </is>
      </c>
      <c r="D1004" s="4" t="inlineStr">
        <is>
          <t>张超</t>
        </is>
      </c>
      <c r="E1004" s="7" t="n">
        <v>3400</v>
      </c>
      <c r="F1004" s="7" t="n">
        <v>2210</v>
      </c>
      <c r="G1004" s="7">
        <f>E1004-F1004</f>
        <v/>
      </c>
      <c r="H1004" s="8">
        <f>IFERROR(F1004/E1004,0)</f>
        <v/>
      </c>
      <c r="I1004" s="4">
        <f>IF(H1004&gt;=1,"超预算",IF(H1004&gt;=0.9,"预警","正常"))</f>
        <v/>
      </c>
      <c r="J1004" s="4">
        <f>RANK(F1004,$F$4:$F$1203,0)</f>
        <v/>
      </c>
      <c r="K1004" s="4" t="inlineStr">
        <is>
          <t>待启动</t>
        </is>
      </c>
    </row>
    <row r="1005">
      <c r="A1005" s="4" t="n">
        <v>1002</v>
      </c>
      <c r="B1005" s="5" t="inlineStr">
        <is>
          <t>PJ-2026-1002</t>
        </is>
      </c>
      <c r="C1005" s="6" t="inlineStr">
        <is>
          <t>解放路老旧小区改造项目（二期）</t>
        </is>
      </c>
      <c r="D1005" s="4" t="inlineStr">
        <is>
          <t>王英</t>
        </is>
      </c>
      <c r="E1005" s="7" t="n">
        <v>3537</v>
      </c>
      <c r="F1005" s="7" t="n">
        <v>3324.78</v>
      </c>
      <c r="G1005" s="7">
        <f>E1005-F1005</f>
        <v/>
      </c>
      <c r="H1005" s="8">
        <f>IFERROR(F1005/E1005,0)</f>
        <v/>
      </c>
      <c r="I1005" s="4">
        <f>IF(H1005&gt;=1,"超预算",IF(H1005&gt;=0.9,"预警","正常"))</f>
        <v/>
      </c>
      <c r="J1005" s="4">
        <f>RANK(F1005,$F$4:$F$1203,0)</f>
        <v/>
      </c>
      <c r="K1005" s="4" t="inlineStr">
        <is>
          <t>完工</t>
        </is>
      </c>
    </row>
    <row r="1006">
      <c r="A1006" s="4" t="n">
        <v>1003</v>
      </c>
      <c r="B1006" s="5" t="inlineStr">
        <is>
          <t>PJ-2026-1003</t>
        </is>
      </c>
      <c r="C1006" s="6" t="inlineStr">
        <is>
          <t>和平街智慧园区建设项目（三期）</t>
        </is>
      </c>
      <c r="D1006" s="4" t="inlineStr">
        <is>
          <t>李强</t>
        </is>
      </c>
      <c r="E1006" s="7" t="n">
        <v>3674</v>
      </c>
      <c r="F1006" s="7" t="n">
        <v>1947.22</v>
      </c>
      <c r="G1006" s="7">
        <f>E1006-F1006</f>
        <v/>
      </c>
      <c r="H1006" s="8">
        <f>IFERROR(F1006/E1006,0)</f>
        <v/>
      </c>
      <c r="I1006" s="4">
        <f>IF(H1006&gt;=1,"超预算",IF(H1006&gt;=0.9,"预警","正常"))</f>
        <v/>
      </c>
      <c r="J1006" s="4">
        <f>RANK(F1006,$F$4:$F$1203,0)</f>
        <v/>
      </c>
      <c r="K1006" s="4" t="inlineStr">
        <is>
          <t>在建</t>
        </is>
      </c>
    </row>
    <row r="1007">
      <c r="A1007" s="4" t="n">
        <v>1004</v>
      </c>
      <c r="B1007" s="5" t="inlineStr">
        <is>
          <t>PJ-2026-1004</t>
        </is>
      </c>
      <c r="C1007" s="6" t="inlineStr">
        <is>
          <t>光明街污水处理扩容工程（四期）</t>
        </is>
      </c>
      <c r="D1007" s="4" t="inlineStr">
        <is>
          <t>赵娟</t>
        </is>
      </c>
      <c r="E1007" s="7" t="n">
        <v>3811</v>
      </c>
      <c r="F1007" s="7" t="n">
        <v>3125.02</v>
      </c>
      <c r="G1007" s="7">
        <f>E1007-F1007</f>
        <v/>
      </c>
      <c r="H1007" s="8">
        <f>IFERROR(F1007/E1007,0)</f>
        <v/>
      </c>
      <c r="I1007" s="4">
        <f>IF(H1007&gt;=1,"超预算",IF(H1007&gt;=0.9,"预警","正常"))</f>
        <v/>
      </c>
      <c r="J1007" s="4">
        <f>RANK(F1007,$F$4:$F$1203,0)</f>
        <v/>
      </c>
      <c r="K1007" s="4" t="inlineStr">
        <is>
          <t>待启动</t>
        </is>
      </c>
    </row>
    <row r="1008">
      <c r="A1008" s="4" t="n">
        <v>1005</v>
      </c>
      <c r="B1008" s="5" t="inlineStr">
        <is>
          <t>PJ-2026-1005</t>
        </is>
      </c>
      <c r="C1008" s="6" t="inlineStr">
        <is>
          <t>城东路供水管网更新工程</t>
        </is>
      </c>
      <c r="D1008" s="4" t="inlineStr">
        <is>
          <t>刘平</t>
        </is>
      </c>
      <c r="E1008" s="7" t="n">
        <v>3948</v>
      </c>
      <c r="F1008" s="7" t="n">
        <v>4382.28</v>
      </c>
      <c r="G1008" s="7">
        <f>E1008-F1008</f>
        <v/>
      </c>
      <c r="H1008" s="8">
        <f>IFERROR(F1008/E1008,0)</f>
        <v/>
      </c>
      <c r="I1008" s="4">
        <f>IF(H1008&gt;=1,"超预算",IF(H1008&gt;=0.9,"预警","正常"))</f>
        <v/>
      </c>
      <c r="J1008" s="4">
        <f>RANK(F1008,$F$4:$F$1203,0)</f>
        <v/>
      </c>
      <c r="K1008" s="4" t="inlineStr">
        <is>
          <t>完工</t>
        </is>
      </c>
    </row>
    <row r="1009">
      <c r="A1009" s="4" t="n">
        <v>1006</v>
      </c>
      <c r="B1009" s="5" t="inlineStr">
        <is>
          <t>PJ-2026-1006</t>
        </is>
      </c>
      <c r="C1009" s="6" t="inlineStr">
        <is>
          <t>解放路河道综合整治工程（二期）</t>
        </is>
      </c>
      <c r="D1009" s="4" t="inlineStr">
        <is>
          <t>陈敏</t>
        </is>
      </c>
      <c r="E1009" s="7" t="n">
        <v>4085</v>
      </c>
      <c r="F1009" s="7" t="n">
        <v>2859.5</v>
      </c>
      <c r="G1009" s="7">
        <f>E1009-F1009</f>
        <v/>
      </c>
      <c r="H1009" s="8">
        <f>IFERROR(F1009/E1009,0)</f>
        <v/>
      </c>
      <c r="I1009" s="4">
        <f>IF(H1009&gt;=1,"超预算",IF(H1009&gt;=0.9,"预警","正常"))</f>
        <v/>
      </c>
      <c r="J1009" s="4">
        <f>RANK(F1009,$F$4:$F$1203,0)</f>
        <v/>
      </c>
      <c r="K1009" s="4" t="inlineStr">
        <is>
          <t>在建</t>
        </is>
      </c>
    </row>
    <row r="1010">
      <c r="A1010" s="4" t="n">
        <v>1007</v>
      </c>
      <c r="B1010" s="5" t="inlineStr">
        <is>
          <t>PJ-2026-1007</t>
        </is>
      </c>
      <c r="C1010" s="6" t="inlineStr">
        <is>
          <t>和平街学校新建工程（三期）</t>
        </is>
      </c>
      <c r="D1010" s="4" t="inlineStr">
        <is>
          <t>杨勇</t>
        </is>
      </c>
      <c r="E1010" s="7" t="n">
        <v>4222</v>
      </c>
      <c r="F1010" s="7" t="n">
        <v>4179.78</v>
      </c>
      <c r="G1010" s="7">
        <f>E1010-F1010</f>
        <v/>
      </c>
      <c r="H1010" s="8">
        <f>IFERROR(F1010/E1010,0)</f>
        <v/>
      </c>
      <c r="I1010" s="4">
        <f>IF(H1010&gt;=1,"超预算",IF(H1010&gt;=0.9,"预警","正常"))</f>
        <v/>
      </c>
      <c r="J1010" s="4">
        <f>RANK(F1010,$F$4:$F$1203,0)</f>
        <v/>
      </c>
      <c r="K1010" s="4" t="inlineStr">
        <is>
          <t>待启动</t>
        </is>
      </c>
    </row>
    <row r="1011">
      <c r="A1011" s="4" t="n">
        <v>1008</v>
      </c>
      <c r="B1011" s="5" t="inlineStr">
        <is>
          <t>PJ-2026-1008</t>
        </is>
      </c>
      <c r="C1011" s="6" t="inlineStr">
        <is>
          <t>光明街医院改扩建项目（四期）</t>
        </is>
      </c>
      <c r="D1011" s="4" t="inlineStr">
        <is>
          <t>黄秀</t>
        </is>
      </c>
      <c r="E1011" s="7" t="n">
        <v>4359</v>
      </c>
      <c r="F1011" s="7" t="n">
        <v>2528.22</v>
      </c>
      <c r="G1011" s="7">
        <f>E1011-F1011</f>
        <v/>
      </c>
      <c r="H1011" s="8">
        <f>IFERROR(F1011/E1011,0)</f>
        <v/>
      </c>
      <c r="I1011" s="4">
        <f>IF(H1011&gt;=1,"超预算",IF(H1011&gt;=0.9,"预警","正常"))</f>
        <v/>
      </c>
      <c r="J1011" s="4">
        <f>RANK(F1011,$F$4:$F$1203,0)</f>
        <v/>
      </c>
      <c r="K1011" s="4" t="inlineStr">
        <is>
          <t>完工</t>
        </is>
      </c>
    </row>
    <row r="1012">
      <c r="A1012" s="4" t="n">
        <v>1009</v>
      </c>
      <c r="B1012" s="5" t="inlineStr">
        <is>
          <t>PJ-2026-1009</t>
        </is>
      </c>
      <c r="C1012" s="6" t="inlineStr">
        <is>
          <t>城东路公交枢纽建设工程</t>
        </is>
      </c>
      <c r="D1012" s="4" t="inlineStr">
        <is>
          <t>周伟</t>
        </is>
      </c>
      <c r="E1012" s="7" t="n">
        <v>4496</v>
      </c>
      <c r="F1012" s="7" t="n">
        <v>3911.52</v>
      </c>
      <c r="G1012" s="7">
        <f>E1012-F1012</f>
        <v/>
      </c>
      <c r="H1012" s="8">
        <f>IFERROR(F1012/E1012,0)</f>
        <v/>
      </c>
      <c r="I1012" s="4">
        <f>IF(H1012&gt;=1,"超预算",IF(H1012&gt;=0.9,"预警","正常"))</f>
        <v/>
      </c>
      <c r="J1012" s="4">
        <f>RANK(F1012,$F$4:$F$1203,0)</f>
        <v/>
      </c>
      <c r="K1012" s="4" t="inlineStr">
        <is>
          <t>在建</t>
        </is>
      </c>
    </row>
    <row r="1013">
      <c r="A1013" s="4" t="n">
        <v>1010</v>
      </c>
      <c r="B1013" s="5" t="inlineStr">
        <is>
          <t>PJ-2026-1010</t>
        </is>
      </c>
      <c r="C1013" s="6" t="inlineStr">
        <is>
          <t>解放路公共停车场建设工程（二期）</t>
        </is>
      </c>
      <c r="D1013" s="4" t="inlineStr">
        <is>
          <t>吴磊</t>
        </is>
      </c>
      <c r="E1013" s="7" t="n">
        <v>4633</v>
      </c>
      <c r="F1013" s="7" t="n">
        <v>2131.18</v>
      </c>
      <c r="G1013" s="7">
        <f>E1013-F1013</f>
        <v/>
      </c>
      <c r="H1013" s="8">
        <f>IFERROR(F1013/E1013,0)</f>
        <v/>
      </c>
      <c r="I1013" s="4">
        <f>IF(H1013&gt;=1,"超预算",IF(H1013&gt;=0.9,"预警","正常"))</f>
        <v/>
      </c>
      <c r="J1013" s="4">
        <f>RANK(F1013,$F$4:$F$1203,0)</f>
        <v/>
      </c>
      <c r="K1013" s="4" t="inlineStr">
        <is>
          <t>待启动</t>
        </is>
      </c>
    </row>
    <row r="1014">
      <c r="A1014" s="4" t="n">
        <v>1011</v>
      </c>
      <c r="B1014" s="5" t="inlineStr">
        <is>
          <t>PJ-2026-1011</t>
        </is>
      </c>
      <c r="C1014" s="6" t="inlineStr">
        <is>
          <t>和平街道路改造工程（三期）</t>
        </is>
      </c>
      <c r="D1014" s="4" t="inlineStr">
        <is>
          <t>徐涛</t>
        </is>
      </c>
      <c r="E1014" s="7" t="n">
        <v>4770</v>
      </c>
      <c r="F1014" s="7" t="n">
        <v>3577.5</v>
      </c>
      <c r="G1014" s="7">
        <f>E1014-F1014</f>
        <v/>
      </c>
      <c r="H1014" s="8">
        <f>IFERROR(F1014/E1014,0)</f>
        <v/>
      </c>
      <c r="I1014" s="4">
        <f>IF(H1014&gt;=1,"超预算",IF(H1014&gt;=0.9,"预警","正常"))</f>
        <v/>
      </c>
      <c r="J1014" s="4">
        <f>RANK(F1014,$F$4:$F$1203,0)</f>
        <v/>
      </c>
      <c r="K1014" s="4" t="inlineStr">
        <is>
          <t>完工</t>
        </is>
      </c>
    </row>
    <row r="1015">
      <c r="A1015" s="4" t="n">
        <v>1012</v>
      </c>
      <c r="B1015" s="5" t="inlineStr">
        <is>
          <t>PJ-2026-1012</t>
        </is>
      </c>
      <c r="C1015" s="6" t="inlineStr">
        <is>
          <t>光明街老旧小区改造项目（四期）</t>
        </is>
      </c>
      <c r="D1015" s="4" t="inlineStr">
        <is>
          <t>孙刚</t>
        </is>
      </c>
      <c r="E1015" s="7" t="n">
        <v>4907</v>
      </c>
      <c r="F1015" s="7" t="n">
        <v>5103.28</v>
      </c>
      <c r="G1015" s="7">
        <f>E1015-F1015</f>
        <v/>
      </c>
      <c r="H1015" s="8">
        <f>IFERROR(F1015/E1015,0)</f>
        <v/>
      </c>
      <c r="I1015" s="4">
        <f>IF(H1015&gt;=1,"超预算",IF(H1015&gt;=0.9,"预警","正常"))</f>
        <v/>
      </c>
      <c r="J1015" s="4">
        <f>RANK(F1015,$F$4:$F$1203,0)</f>
        <v/>
      </c>
      <c r="K1015" s="4" t="inlineStr">
        <is>
          <t>在建</t>
        </is>
      </c>
    </row>
    <row r="1016">
      <c r="A1016" s="4" t="n">
        <v>1013</v>
      </c>
      <c r="B1016" s="5" t="inlineStr">
        <is>
          <t>PJ-2026-1013</t>
        </is>
      </c>
      <c r="C1016" s="6" t="inlineStr">
        <is>
          <t>城东路智慧园区建设项目</t>
        </is>
      </c>
      <c r="D1016" s="4" t="inlineStr">
        <is>
          <t>马静</t>
        </is>
      </c>
      <c r="E1016" s="7" t="n">
        <v>94</v>
      </c>
      <c r="F1016" s="7" t="n">
        <v>59.22</v>
      </c>
      <c r="G1016" s="7">
        <f>E1016-F1016</f>
        <v/>
      </c>
      <c r="H1016" s="8">
        <f>IFERROR(F1016/E1016,0)</f>
        <v/>
      </c>
      <c r="I1016" s="4">
        <f>IF(H1016&gt;=1,"超预算",IF(H1016&gt;=0.9,"预警","正常"))</f>
        <v/>
      </c>
      <c r="J1016" s="4">
        <f>RANK(F1016,$F$4:$F$1203,0)</f>
        <v/>
      </c>
      <c r="K1016" s="4" t="inlineStr">
        <is>
          <t>待启动</t>
        </is>
      </c>
    </row>
    <row r="1017">
      <c r="A1017" s="4" t="n">
        <v>1014</v>
      </c>
      <c r="B1017" s="5" t="inlineStr">
        <is>
          <t>PJ-2026-1014</t>
        </is>
      </c>
      <c r="C1017" s="6" t="inlineStr">
        <is>
          <t>解放路污水处理扩容工程（二期）</t>
        </is>
      </c>
      <c r="D1017" s="4" t="inlineStr">
        <is>
          <t>朱艳</t>
        </is>
      </c>
      <c r="E1017" s="7" t="n">
        <v>231</v>
      </c>
      <c r="F1017" s="7" t="n">
        <v>212.52</v>
      </c>
      <c r="G1017" s="7">
        <f>E1017-F1017</f>
        <v/>
      </c>
      <c r="H1017" s="8">
        <f>IFERROR(F1017/E1017,0)</f>
        <v/>
      </c>
      <c r="I1017" s="4">
        <f>IF(H1017&gt;=1,"超预算",IF(H1017&gt;=0.9,"预警","正常"))</f>
        <v/>
      </c>
      <c r="J1017" s="4">
        <f>RANK(F1017,$F$4:$F$1203,0)</f>
        <v/>
      </c>
      <c r="K1017" s="4" t="inlineStr">
        <is>
          <t>完工</t>
        </is>
      </c>
    </row>
    <row r="1018">
      <c r="A1018" s="4" t="n">
        <v>1015</v>
      </c>
      <c r="B1018" s="5" t="inlineStr">
        <is>
          <t>PJ-2026-1015</t>
        </is>
      </c>
      <c r="C1018" s="6" t="inlineStr">
        <is>
          <t>和平街供水管网更新工程（三期）</t>
        </is>
      </c>
      <c r="D1018" s="4" t="inlineStr">
        <is>
          <t>胡英</t>
        </is>
      </c>
      <c r="E1018" s="7" t="n">
        <v>368</v>
      </c>
      <c r="F1018" s="7" t="n">
        <v>187.68</v>
      </c>
      <c r="G1018" s="7">
        <f>E1018-F1018</f>
        <v/>
      </c>
      <c r="H1018" s="8">
        <f>IFERROR(F1018/E1018,0)</f>
        <v/>
      </c>
      <c r="I1018" s="4">
        <f>IF(H1018&gt;=1,"超预算",IF(H1018&gt;=0.9,"预警","正常"))</f>
        <v/>
      </c>
      <c r="J1018" s="4">
        <f>RANK(F1018,$F$4:$F$1203,0)</f>
        <v/>
      </c>
      <c r="K1018" s="4" t="inlineStr">
        <is>
          <t>在建</t>
        </is>
      </c>
    </row>
    <row r="1019">
      <c r="A1019" s="4" t="n">
        <v>1016</v>
      </c>
      <c r="B1019" s="5" t="inlineStr">
        <is>
          <t>PJ-2026-1016</t>
        </is>
      </c>
      <c r="C1019" s="6" t="inlineStr">
        <is>
          <t>光明街河道综合整治工程（四期）</t>
        </is>
      </c>
      <c r="D1019" s="4" t="inlineStr">
        <is>
          <t>郭芳</t>
        </is>
      </c>
      <c r="E1019" s="7" t="n">
        <v>505</v>
      </c>
      <c r="F1019" s="7" t="n">
        <v>404</v>
      </c>
      <c r="G1019" s="7">
        <f>E1019-F1019</f>
        <v/>
      </c>
      <c r="H1019" s="8">
        <f>IFERROR(F1019/E1019,0)</f>
        <v/>
      </c>
      <c r="I1019" s="4">
        <f>IF(H1019&gt;=1,"超预算",IF(H1019&gt;=0.9,"预警","正常"))</f>
        <v/>
      </c>
      <c r="J1019" s="4">
        <f>RANK(F1019,$F$4:$F$1203,0)</f>
        <v/>
      </c>
      <c r="K1019" s="4" t="inlineStr">
        <is>
          <t>待启动</t>
        </is>
      </c>
    </row>
    <row r="1020">
      <c r="A1020" s="4" t="n">
        <v>1017</v>
      </c>
      <c r="B1020" s="5" t="inlineStr">
        <is>
          <t>PJ-2026-1017</t>
        </is>
      </c>
      <c r="C1020" s="6" t="inlineStr">
        <is>
          <t>城东路学校新建工程</t>
        </is>
      </c>
      <c r="D1020" s="4" t="inlineStr">
        <is>
          <t>何军</t>
        </is>
      </c>
      <c r="E1020" s="7" t="n">
        <v>642</v>
      </c>
      <c r="F1020" s="7" t="n">
        <v>699.78</v>
      </c>
      <c r="G1020" s="7">
        <f>E1020-F1020</f>
        <v/>
      </c>
      <c r="H1020" s="8">
        <f>IFERROR(F1020/E1020,0)</f>
        <v/>
      </c>
      <c r="I1020" s="4">
        <f>IF(H1020&gt;=1,"超预算",IF(H1020&gt;=0.9,"预警","正常"))</f>
        <v/>
      </c>
      <c r="J1020" s="4">
        <f>RANK(F1020,$F$4:$F$1203,0)</f>
        <v/>
      </c>
      <c r="K1020" s="4" t="inlineStr">
        <is>
          <t>完工</t>
        </is>
      </c>
    </row>
    <row r="1021">
      <c r="A1021" s="4" t="n">
        <v>1018</v>
      </c>
      <c r="B1021" s="5" t="inlineStr">
        <is>
          <t>PJ-2026-1018</t>
        </is>
      </c>
      <c r="C1021" s="6" t="inlineStr">
        <is>
          <t>解放路医院改扩建项目（二期）</t>
        </is>
      </c>
      <c r="D1021" s="4" t="inlineStr">
        <is>
          <t>高明</t>
        </is>
      </c>
      <c r="E1021" s="7" t="n">
        <v>779</v>
      </c>
      <c r="F1021" s="7" t="n">
        <v>529.72</v>
      </c>
      <c r="G1021" s="7">
        <f>E1021-F1021</f>
        <v/>
      </c>
      <c r="H1021" s="8">
        <f>IFERROR(F1021/E1021,0)</f>
        <v/>
      </c>
      <c r="I1021" s="4">
        <f>IF(H1021&gt;=1,"超预算",IF(H1021&gt;=0.9,"预警","正常"))</f>
        <v/>
      </c>
      <c r="J1021" s="4">
        <f>RANK(F1021,$F$4:$F$1203,0)</f>
        <v/>
      </c>
      <c r="K1021" s="4" t="inlineStr">
        <is>
          <t>在建</t>
        </is>
      </c>
    </row>
    <row r="1022">
      <c r="A1022" s="4" t="n">
        <v>1019</v>
      </c>
      <c r="B1022" s="5" t="inlineStr">
        <is>
          <t>PJ-2026-1019</t>
        </is>
      </c>
      <c r="C1022" s="6" t="inlineStr">
        <is>
          <t>和平街公交枢纽建设工程（三期）</t>
        </is>
      </c>
      <c r="D1022" s="4" t="inlineStr">
        <is>
          <t>林桂</t>
        </is>
      </c>
      <c r="E1022" s="7" t="n">
        <v>916</v>
      </c>
      <c r="F1022" s="7" t="n">
        <v>888.52</v>
      </c>
      <c r="G1022" s="7">
        <f>E1022-F1022</f>
        <v/>
      </c>
      <c r="H1022" s="8">
        <f>IFERROR(F1022/E1022,0)</f>
        <v/>
      </c>
      <c r="I1022" s="4">
        <f>IF(H1022&gt;=1,"超预算",IF(H1022&gt;=0.9,"预警","正常"))</f>
        <v/>
      </c>
      <c r="J1022" s="4">
        <f>RANK(F1022,$F$4:$F$1203,0)</f>
        <v/>
      </c>
      <c r="K1022" s="4" t="inlineStr">
        <is>
          <t>待启动</t>
        </is>
      </c>
    </row>
    <row r="1023">
      <c r="A1023" s="4" t="n">
        <v>1020</v>
      </c>
      <c r="B1023" s="5" t="inlineStr">
        <is>
          <t>PJ-2026-1020</t>
        </is>
      </c>
      <c r="C1023" s="6" t="inlineStr">
        <is>
          <t>光明街公共停车场建设工程（四期）</t>
        </is>
      </c>
      <c r="D1023" s="4" t="inlineStr">
        <is>
          <t>罗丽</t>
        </is>
      </c>
      <c r="E1023" s="7" t="n">
        <v>1053</v>
      </c>
      <c r="F1023" s="7" t="n">
        <v>589.6799999999999</v>
      </c>
      <c r="G1023" s="7">
        <f>E1023-F1023</f>
        <v/>
      </c>
      <c r="H1023" s="8">
        <f>IFERROR(F1023/E1023,0)</f>
        <v/>
      </c>
      <c r="I1023" s="4">
        <f>IF(H1023&gt;=1,"超预算",IF(H1023&gt;=0.9,"预警","正常"))</f>
        <v/>
      </c>
      <c r="J1023" s="4">
        <f>RANK(F1023,$F$4:$F$1203,0)</f>
        <v/>
      </c>
      <c r="K1023" s="4" t="inlineStr">
        <is>
          <t>完工</t>
        </is>
      </c>
    </row>
    <row r="1024">
      <c r="A1024" s="4" t="n">
        <v>1021</v>
      </c>
      <c r="B1024" s="5" t="inlineStr">
        <is>
          <t>PJ-2026-1021</t>
        </is>
      </c>
      <c r="C1024" s="6" t="inlineStr">
        <is>
          <t>城东路道路改造工程</t>
        </is>
      </c>
      <c r="D1024" s="4" t="inlineStr">
        <is>
          <t>张杰</t>
        </is>
      </c>
      <c r="E1024" s="7" t="n">
        <v>1190</v>
      </c>
      <c r="F1024" s="7" t="n">
        <v>1011.5</v>
      </c>
      <c r="G1024" s="7">
        <f>E1024-F1024</f>
        <v/>
      </c>
      <c r="H1024" s="8">
        <f>IFERROR(F1024/E1024,0)</f>
        <v/>
      </c>
      <c r="I1024" s="4">
        <f>IF(H1024&gt;=1,"超预算",IF(H1024&gt;=0.9,"预警","正常"))</f>
        <v/>
      </c>
      <c r="J1024" s="4">
        <f>RANK(F1024,$F$4:$F$1203,0)</f>
        <v/>
      </c>
      <c r="K1024" s="4" t="inlineStr">
        <is>
          <t>在建</t>
        </is>
      </c>
    </row>
    <row r="1025">
      <c r="A1025" s="4" t="n">
        <v>1022</v>
      </c>
      <c r="B1025" s="5" t="inlineStr">
        <is>
          <t>PJ-2026-1022</t>
        </is>
      </c>
      <c r="C1025" s="6" t="inlineStr">
        <is>
          <t>解放路老旧小区改造项目（二期）</t>
        </is>
      </c>
      <c r="D1025" s="4" t="inlineStr">
        <is>
          <t>王霞</t>
        </is>
      </c>
      <c r="E1025" s="7" t="n">
        <v>1327</v>
      </c>
      <c r="F1025" s="7" t="n">
        <v>1512.78</v>
      </c>
      <c r="G1025" s="7">
        <f>E1025-F1025</f>
        <v/>
      </c>
      <c r="H1025" s="8">
        <f>IFERROR(F1025/E1025,0)</f>
        <v/>
      </c>
      <c r="I1025" s="4">
        <f>IF(H1025&gt;=1,"超预算",IF(H1025&gt;=0.9,"预警","正常"))</f>
        <v/>
      </c>
      <c r="J1025" s="4">
        <f>RANK(F1025,$F$4:$F$1203,0)</f>
        <v/>
      </c>
      <c r="K1025" s="4" t="inlineStr">
        <is>
          <t>待启动</t>
        </is>
      </c>
    </row>
    <row r="1026">
      <c r="A1026" s="4" t="n">
        <v>1023</v>
      </c>
      <c r="B1026" s="5" t="inlineStr">
        <is>
          <t>PJ-2026-1023</t>
        </is>
      </c>
      <c r="C1026" s="6" t="inlineStr">
        <is>
          <t>和平街智慧园区建设项目（三期）</t>
        </is>
      </c>
      <c r="D1026" s="4" t="inlineStr">
        <is>
          <t>李娜</t>
        </is>
      </c>
      <c r="E1026" s="7" t="n">
        <v>1464</v>
      </c>
      <c r="F1026" s="7" t="n">
        <v>1068.72</v>
      </c>
      <c r="G1026" s="7">
        <f>E1026-F1026</f>
        <v/>
      </c>
      <c r="H1026" s="8">
        <f>IFERROR(F1026/E1026,0)</f>
        <v/>
      </c>
      <c r="I1026" s="4">
        <f>IF(H1026&gt;=1,"超预算",IF(H1026&gt;=0.9,"预警","正常"))</f>
        <v/>
      </c>
      <c r="J1026" s="4">
        <f>RANK(F1026,$F$4:$F$1203,0)</f>
        <v/>
      </c>
      <c r="K1026" s="4" t="inlineStr">
        <is>
          <t>完工</t>
        </is>
      </c>
    </row>
    <row r="1027">
      <c r="A1027" s="4" t="n">
        <v>1024</v>
      </c>
      <c r="B1027" s="5" t="inlineStr">
        <is>
          <t>PJ-2026-1024</t>
        </is>
      </c>
      <c r="C1027" s="6" t="inlineStr">
        <is>
          <t>光明街污水处理扩容工程（四期）</t>
        </is>
      </c>
      <c r="D1027" s="4" t="inlineStr">
        <is>
          <t>赵洋</t>
        </is>
      </c>
      <c r="E1027" s="7" t="n">
        <v>1601</v>
      </c>
      <c r="F1027" s="7" t="n">
        <v>1633.02</v>
      </c>
      <c r="G1027" s="7">
        <f>E1027-F1027</f>
        <v/>
      </c>
      <c r="H1027" s="8">
        <f>IFERROR(F1027/E1027,0)</f>
        <v/>
      </c>
      <c r="I1027" s="4">
        <f>IF(H1027&gt;=1,"超预算",IF(H1027&gt;=0.9,"预警","正常"))</f>
        <v/>
      </c>
      <c r="J1027" s="4">
        <f>RANK(F1027,$F$4:$F$1203,0)</f>
        <v/>
      </c>
      <c r="K1027" s="4" t="inlineStr">
        <is>
          <t>在建</t>
        </is>
      </c>
    </row>
    <row r="1028">
      <c r="A1028" s="4" t="n">
        <v>1025</v>
      </c>
      <c r="B1028" s="5" t="inlineStr">
        <is>
          <t>PJ-2026-1025</t>
        </is>
      </c>
      <c r="C1028" s="6" t="inlineStr">
        <is>
          <t>城东路供水管网更新工程</t>
        </is>
      </c>
      <c r="D1028" s="4" t="inlineStr">
        <is>
          <t>刘超</t>
        </is>
      </c>
      <c r="E1028" s="7" t="n">
        <v>1738</v>
      </c>
      <c r="F1028" s="7" t="n">
        <v>1060.18</v>
      </c>
      <c r="G1028" s="7">
        <f>E1028-F1028</f>
        <v/>
      </c>
      <c r="H1028" s="8">
        <f>IFERROR(F1028/E1028,0)</f>
        <v/>
      </c>
      <c r="I1028" s="4">
        <f>IF(H1028&gt;=1,"超预算",IF(H1028&gt;=0.9,"预警","正常"))</f>
        <v/>
      </c>
      <c r="J1028" s="4">
        <f>RANK(F1028,$F$4:$F$1203,0)</f>
        <v/>
      </c>
      <c r="K1028" s="4" t="inlineStr">
        <is>
          <t>待启动</t>
        </is>
      </c>
    </row>
    <row r="1029">
      <c r="A1029" s="4" t="n">
        <v>1026</v>
      </c>
      <c r="B1029" s="5" t="inlineStr">
        <is>
          <t>PJ-2026-1026</t>
        </is>
      </c>
      <c r="C1029" s="6" t="inlineStr">
        <is>
          <t>解放路河道综合整治工程（二期）</t>
        </is>
      </c>
      <c r="D1029" s="4" t="inlineStr">
        <is>
          <t>陈英</t>
        </is>
      </c>
      <c r="E1029" s="7" t="n">
        <v>1875</v>
      </c>
      <c r="F1029" s="7" t="n">
        <v>1687.5</v>
      </c>
      <c r="G1029" s="7">
        <f>E1029-F1029</f>
        <v/>
      </c>
      <c r="H1029" s="8">
        <f>IFERROR(F1029/E1029,0)</f>
        <v/>
      </c>
      <c r="I1029" s="4">
        <f>IF(H1029&gt;=1,"超预算",IF(H1029&gt;=0.9,"预警","正常"))</f>
        <v/>
      </c>
      <c r="J1029" s="4">
        <f>RANK(F1029,$F$4:$F$1203,0)</f>
        <v/>
      </c>
      <c r="K1029" s="4" t="inlineStr">
        <is>
          <t>完工</t>
        </is>
      </c>
    </row>
    <row r="1030">
      <c r="A1030" s="4" t="n">
        <v>1027</v>
      </c>
      <c r="B1030" s="5" t="inlineStr">
        <is>
          <t>PJ-2026-1027</t>
        </is>
      </c>
      <c r="C1030" s="6" t="inlineStr">
        <is>
          <t>和平街学校新建工程（三期）</t>
        </is>
      </c>
      <c r="D1030" s="4" t="inlineStr">
        <is>
          <t>杨强</t>
        </is>
      </c>
      <c r="E1030" s="7" t="n">
        <v>2012</v>
      </c>
      <c r="F1030" s="7" t="n">
        <v>985.88</v>
      </c>
      <c r="G1030" s="7">
        <f>E1030-F1030</f>
        <v/>
      </c>
      <c r="H1030" s="8">
        <f>IFERROR(F1030/E1030,0)</f>
        <v/>
      </c>
      <c r="I1030" s="4">
        <f>IF(H1030&gt;=1,"超预算",IF(H1030&gt;=0.9,"预警","正常"))</f>
        <v/>
      </c>
      <c r="J1030" s="4">
        <f>RANK(F1030,$F$4:$F$1203,0)</f>
        <v/>
      </c>
      <c r="K1030" s="4" t="inlineStr">
        <is>
          <t>在建</t>
        </is>
      </c>
    </row>
    <row r="1031">
      <c r="A1031" s="4" t="n">
        <v>1028</v>
      </c>
      <c r="B1031" s="5" t="inlineStr">
        <is>
          <t>PJ-2026-1028</t>
        </is>
      </c>
      <c r="C1031" s="6" t="inlineStr">
        <is>
          <t>光明街医院改扩建项目（四期）</t>
        </is>
      </c>
      <c r="D1031" s="4" t="inlineStr">
        <is>
          <t>黄娟</t>
        </is>
      </c>
      <c r="E1031" s="7" t="n">
        <v>2149</v>
      </c>
      <c r="F1031" s="7" t="n">
        <v>1676.22</v>
      </c>
      <c r="G1031" s="7">
        <f>E1031-F1031</f>
        <v/>
      </c>
      <c r="H1031" s="8">
        <f>IFERROR(F1031/E1031,0)</f>
        <v/>
      </c>
      <c r="I1031" s="4">
        <f>IF(H1031&gt;=1,"超预算",IF(H1031&gt;=0.9,"预警","正常"))</f>
        <v/>
      </c>
      <c r="J1031" s="4">
        <f>RANK(F1031,$F$4:$F$1203,0)</f>
        <v/>
      </c>
      <c r="K1031" s="4" t="inlineStr">
        <is>
          <t>待启动</t>
        </is>
      </c>
    </row>
    <row r="1032">
      <c r="A1032" s="4" t="n">
        <v>1029</v>
      </c>
      <c r="B1032" s="5" t="inlineStr">
        <is>
          <t>PJ-2026-1029</t>
        </is>
      </c>
      <c r="C1032" s="6" t="inlineStr">
        <is>
          <t>城东路公交枢纽建设工程</t>
        </is>
      </c>
      <c r="D1032" s="4" t="inlineStr">
        <is>
          <t>周平</t>
        </is>
      </c>
      <c r="E1032" s="7" t="n">
        <v>2286</v>
      </c>
      <c r="F1032" s="7" t="n">
        <v>2446.02</v>
      </c>
      <c r="G1032" s="7">
        <f>E1032-F1032</f>
        <v/>
      </c>
      <c r="H1032" s="8">
        <f>IFERROR(F1032/E1032,0)</f>
        <v/>
      </c>
      <c r="I1032" s="4">
        <f>IF(H1032&gt;=1,"超预算",IF(H1032&gt;=0.9,"预警","正常"))</f>
        <v/>
      </c>
      <c r="J1032" s="4">
        <f>RANK(F1032,$F$4:$F$1203,0)</f>
        <v/>
      </c>
      <c r="K1032" s="4" t="inlineStr">
        <is>
          <t>完工</t>
        </is>
      </c>
    </row>
    <row r="1033">
      <c r="A1033" s="4" t="n">
        <v>1030</v>
      </c>
      <c r="B1033" s="5" t="inlineStr">
        <is>
          <t>PJ-2026-1030</t>
        </is>
      </c>
      <c r="C1033" s="6" t="inlineStr">
        <is>
          <t>解放路公共停车场建设工程（二期）</t>
        </is>
      </c>
      <c r="D1033" s="4" t="inlineStr">
        <is>
          <t>吴敏</t>
        </is>
      </c>
      <c r="E1033" s="7" t="n">
        <v>2423</v>
      </c>
      <c r="F1033" s="7" t="n">
        <v>1599.18</v>
      </c>
      <c r="G1033" s="7">
        <f>E1033-F1033</f>
        <v/>
      </c>
      <c r="H1033" s="8">
        <f>IFERROR(F1033/E1033,0)</f>
        <v/>
      </c>
      <c r="I1033" s="4">
        <f>IF(H1033&gt;=1,"超预算",IF(H1033&gt;=0.9,"预警","正常"))</f>
        <v/>
      </c>
      <c r="J1033" s="4">
        <f>RANK(F1033,$F$4:$F$1203,0)</f>
        <v/>
      </c>
      <c r="K1033" s="4" t="inlineStr">
        <is>
          <t>在建</t>
        </is>
      </c>
    </row>
    <row r="1034">
      <c r="A1034" s="4" t="n">
        <v>1031</v>
      </c>
      <c r="B1034" s="5" t="inlineStr">
        <is>
          <t>PJ-2026-1031</t>
        </is>
      </c>
      <c r="C1034" s="6" t="inlineStr">
        <is>
          <t>和平街道路改造工程（三期）</t>
        </is>
      </c>
      <c r="D1034" s="4" t="inlineStr">
        <is>
          <t>徐勇</t>
        </is>
      </c>
      <c r="E1034" s="7" t="n">
        <v>2560</v>
      </c>
      <c r="F1034" s="7" t="n">
        <v>2432</v>
      </c>
      <c r="G1034" s="7">
        <f>E1034-F1034</f>
        <v/>
      </c>
      <c r="H1034" s="8">
        <f>IFERROR(F1034/E1034,0)</f>
        <v/>
      </c>
      <c r="I1034" s="4">
        <f>IF(H1034&gt;=1,"超预算",IF(H1034&gt;=0.9,"预警","正常"))</f>
        <v/>
      </c>
      <c r="J1034" s="4">
        <f>RANK(F1034,$F$4:$F$1203,0)</f>
        <v/>
      </c>
      <c r="K1034" s="4" t="inlineStr">
        <is>
          <t>待启动</t>
        </is>
      </c>
    </row>
    <row r="1035">
      <c r="A1035" s="4" t="n">
        <v>1032</v>
      </c>
      <c r="B1035" s="5" t="inlineStr">
        <is>
          <t>PJ-2026-1032</t>
        </is>
      </c>
      <c r="C1035" s="6" t="inlineStr">
        <is>
          <t>光明街老旧小区改造项目（四期）</t>
        </is>
      </c>
      <c r="D1035" s="4" t="inlineStr">
        <is>
          <t>孙秀</t>
        </is>
      </c>
      <c r="E1035" s="7" t="n">
        <v>2697</v>
      </c>
      <c r="F1035" s="7" t="n">
        <v>1456.38</v>
      </c>
      <c r="G1035" s="7">
        <f>E1035-F1035</f>
        <v/>
      </c>
      <c r="H1035" s="8">
        <f>IFERROR(F1035/E1035,0)</f>
        <v/>
      </c>
      <c r="I1035" s="4">
        <f>IF(H1035&gt;=1,"超预算",IF(H1035&gt;=0.9,"预警","正常"))</f>
        <v/>
      </c>
      <c r="J1035" s="4">
        <f>RANK(F1035,$F$4:$F$1203,0)</f>
        <v/>
      </c>
      <c r="K1035" s="4" t="inlineStr">
        <is>
          <t>完工</t>
        </is>
      </c>
    </row>
    <row r="1036">
      <c r="A1036" s="4" t="n">
        <v>1033</v>
      </c>
      <c r="B1036" s="5" t="inlineStr">
        <is>
          <t>PJ-2026-1033</t>
        </is>
      </c>
      <c r="C1036" s="6" t="inlineStr">
        <is>
          <t>城东路智慧园区建设项目</t>
        </is>
      </c>
      <c r="D1036" s="4" t="inlineStr">
        <is>
          <t>马伟</t>
        </is>
      </c>
      <c r="E1036" s="7" t="n">
        <v>2834</v>
      </c>
      <c r="F1036" s="7" t="n">
        <v>2352.22</v>
      </c>
      <c r="G1036" s="7">
        <f>E1036-F1036</f>
        <v/>
      </c>
      <c r="H1036" s="8">
        <f>IFERROR(F1036/E1036,0)</f>
        <v/>
      </c>
      <c r="I1036" s="4">
        <f>IF(H1036&gt;=1,"超预算",IF(H1036&gt;=0.9,"预警","正常"))</f>
        <v/>
      </c>
      <c r="J1036" s="4">
        <f>RANK(F1036,$F$4:$F$1203,0)</f>
        <v/>
      </c>
      <c r="K1036" s="4" t="inlineStr">
        <is>
          <t>在建</t>
        </is>
      </c>
    </row>
    <row r="1037">
      <c r="A1037" s="4" t="n">
        <v>1034</v>
      </c>
      <c r="B1037" s="5" t="inlineStr">
        <is>
          <t>PJ-2026-1034</t>
        </is>
      </c>
      <c r="C1037" s="6" t="inlineStr">
        <is>
          <t>解放路污水处理扩容工程（二期）</t>
        </is>
      </c>
      <c r="D1037" s="4" t="inlineStr">
        <is>
          <t>朱磊</t>
        </is>
      </c>
      <c r="E1037" s="7" t="n">
        <v>2971</v>
      </c>
      <c r="F1037" s="7" t="n">
        <v>3327.52</v>
      </c>
      <c r="G1037" s="7">
        <f>E1037-F1037</f>
        <v/>
      </c>
      <c r="H1037" s="8">
        <f>IFERROR(F1037/E1037,0)</f>
        <v/>
      </c>
      <c r="I1037" s="4">
        <f>IF(H1037&gt;=1,"超预算",IF(H1037&gt;=0.9,"预警","正常"))</f>
        <v/>
      </c>
      <c r="J1037" s="4">
        <f>RANK(F1037,$F$4:$F$1203,0)</f>
        <v/>
      </c>
      <c r="K1037" s="4" t="inlineStr">
        <is>
          <t>待启动</t>
        </is>
      </c>
    </row>
    <row r="1038">
      <c r="A1038" s="4" t="n">
        <v>1035</v>
      </c>
      <c r="B1038" s="5" t="inlineStr">
        <is>
          <t>PJ-2026-1035</t>
        </is>
      </c>
      <c r="C1038" s="6" t="inlineStr">
        <is>
          <t>和平街供水管网更新工程（三期）</t>
        </is>
      </c>
      <c r="D1038" s="4" t="inlineStr">
        <is>
          <t>胡涛</t>
        </is>
      </c>
      <c r="E1038" s="7" t="n">
        <v>3108</v>
      </c>
      <c r="F1038" s="7" t="n">
        <v>2206.68</v>
      </c>
      <c r="G1038" s="7">
        <f>E1038-F1038</f>
        <v/>
      </c>
      <c r="H1038" s="8">
        <f>IFERROR(F1038/E1038,0)</f>
        <v/>
      </c>
      <c r="I1038" s="4">
        <f>IF(H1038&gt;=1,"超预算",IF(H1038&gt;=0.9,"预警","正常"))</f>
        <v/>
      </c>
      <c r="J1038" s="4">
        <f>RANK(F1038,$F$4:$F$1203,0)</f>
        <v/>
      </c>
      <c r="K1038" s="4" t="inlineStr">
        <is>
          <t>完工</t>
        </is>
      </c>
    </row>
    <row r="1039">
      <c r="A1039" s="4" t="n">
        <v>1036</v>
      </c>
      <c r="B1039" s="5" t="inlineStr">
        <is>
          <t>PJ-2026-1036</t>
        </is>
      </c>
      <c r="C1039" s="6" t="inlineStr">
        <is>
          <t>光明街河道综合整治工程（四期）</t>
        </is>
      </c>
      <c r="D1039" s="4" t="inlineStr">
        <is>
          <t>郭刚</t>
        </is>
      </c>
      <c r="E1039" s="7" t="n">
        <v>3245</v>
      </c>
      <c r="F1039" s="7" t="n">
        <v>3245</v>
      </c>
      <c r="G1039" s="7">
        <f>E1039-F1039</f>
        <v/>
      </c>
      <c r="H1039" s="8">
        <f>IFERROR(F1039/E1039,0)</f>
        <v/>
      </c>
      <c r="I1039" s="4">
        <f>IF(H1039&gt;=1,"超预算",IF(H1039&gt;=0.9,"预警","正常"))</f>
        <v/>
      </c>
      <c r="J1039" s="4">
        <f>RANK(F1039,$F$4:$F$1203,0)</f>
        <v/>
      </c>
      <c r="K1039" s="4" t="inlineStr">
        <is>
          <t>在建</t>
        </is>
      </c>
    </row>
    <row r="1040">
      <c r="A1040" s="4" t="n">
        <v>1037</v>
      </c>
      <c r="B1040" s="5" t="inlineStr">
        <is>
          <t>PJ-2026-1037</t>
        </is>
      </c>
      <c r="C1040" s="6" t="inlineStr">
        <is>
          <t>城东路学校新建工程</t>
        </is>
      </c>
      <c r="D1040" s="4" t="inlineStr">
        <is>
          <t>何静</t>
        </is>
      </c>
      <c r="E1040" s="7" t="n">
        <v>3382</v>
      </c>
      <c r="F1040" s="7" t="n">
        <v>1995.38</v>
      </c>
      <c r="G1040" s="7">
        <f>E1040-F1040</f>
        <v/>
      </c>
      <c r="H1040" s="8">
        <f>IFERROR(F1040/E1040,0)</f>
        <v/>
      </c>
      <c r="I1040" s="4">
        <f>IF(H1040&gt;=1,"超预算",IF(H1040&gt;=0.9,"预警","正常"))</f>
        <v/>
      </c>
      <c r="J1040" s="4">
        <f>RANK(F1040,$F$4:$F$1203,0)</f>
        <v/>
      </c>
      <c r="K1040" s="4" t="inlineStr">
        <is>
          <t>待启动</t>
        </is>
      </c>
    </row>
    <row r="1041">
      <c r="A1041" s="4" t="n">
        <v>1038</v>
      </c>
      <c r="B1041" s="5" t="inlineStr">
        <is>
          <t>PJ-2026-1038</t>
        </is>
      </c>
      <c r="C1041" s="6" t="inlineStr">
        <is>
          <t>解放路医院改扩建项目（二期）</t>
        </is>
      </c>
      <c r="D1041" s="4" t="inlineStr">
        <is>
          <t>高艳</t>
        </is>
      </c>
      <c r="E1041" s="7" t="n">
        <v>3519</v>
      </c>
      <c r="F1041" s="7" t="n">
        <v>3096.72</v>
      </c>
      <c r="G1041" s="7">
        <f>E1041-F1041</f>
        <v/>
      </c>
      <c r="H1041" s="8">
        <f>IFERROR(F1041/E1041,0)</f>
        <v/>
      </c>
      <c r="I1041" s="4">
        <f>IF(H1041&gt;=1,"超预算",IF(H1041&gt;=0.9,"预警","正常"))</f>
        <v/>
      </c>
      <c r="J1041" s="4">
        <f>RANK(F1041,$F$4:$F$1203,0)</f>
        <v/>
      </c>
      <c r="K1041" s="4" t="inlineStr">
        <is>
          <t>完工</t>
        </is>
      </c>
    </row>
    <row r="1042">
      <c r="A1042" s="4" t="n">
        <v>1039</v>
      </c>
      <c r="B1042" s="5" t="inlineStr">
        <is>
          <t>PJ-2026-1039</t>
        </is>
      </c>
      <c r="C1042" s="6" t="inlineStr">
        <is>
          <t>和平街公交枢纽建设工程（三期）</t>
        </is>
      </c>
      <c r="D1042" s="4" t="inlineStr">
        <is>
          <t>林英</t>
        </is>
      </c>
      <c r="E1042" s="7" t="n">
        <v>3656</v>
      </c>
      <c r="F1042" s="7" t="n">
        <v>1718.32</v>
      </c>
      <c r="G1042" s="7">
        <f>E1042-F1042</f>
        <v/>
      </c>
      <c r="H1042" s="8">
        <f>IFERROR(F1042/E1042,0)</f>
        <v/>
      </c>
      <c r="I1042" s="4">
        <f>IF(H1042&gt;=1,"超预算",IF(H1042&gt;=0.9,"预警","正常"))</f>
        <v/>
      </c>
      <c r="J1042" s="4">
        <f>RANK(F1042,$F$4:$F$1203,0)</f>
        <v/>
      </c>
      <c r="K1042" s="4" t="inlineStr">
        <is>
          <t>在建</t>
        </is>
      </c>
    </row>
    <row r="1043">
      <c r="A1043" s="4" t="n">
        <v>1040</v>
      </c>
      <c r="B1043" s="5" t="inlineStr">
        <is>
          <t>PJ-2026-1040</t>
        </is>
      </c>
      <c r="C1043" s="6" t="inlineStr">
        <is>
          <t>光明街公共停车场建设工程（四期）</t>
        </is>
      </c>
      <c r="D1043" s="4" t="inlineStr">
        <is>
          <t>罗芳</t>
        </is>
      </c>
      <c r="E1043" s="7" t="n">
        <v>3793</v>
      </c>
      <c r="F1043" s="7" t="n">
        <v>2882.68</v>
      </c>
      <c r="G1043" s="7">
        <f>E1043-F1043</f>
        <v/>
      </c>
      <c r="H1043" s="8">
        <f>IFERROR(F1043/E1043,0)</f>
        <v/>
      </c>
      <c r="I1043" s="4">
        <f>IF(H1043&gt;=1,"超预算",IF(H1043&gt;=0.9,"预警","正常"))</f>
        <v/>
      </c>
      <c r="J1043" s="4">
        <f>RANK(F1043,$F$4:$F$1203,0)</f>
        <v/>
      </c>
      <c r="K1043" s="4" t="inlineStr">
        <is>
          <t>待启动</t>
        </is>
      </c>
    </row>
    <row r="1044">
      <c r="A1044" s="4" t="n">
        <v>1041</v>
      </c>
      <c r="B1044" s="5" t="inlineStr">
        <is>
          <t>PJ-2026-1041</t>
        </is>
      </c>
      <c r="C1044" s="6" t="inlineStr">
        <is>
          <t>城东路道路改造工程</t>
        </is>
      </c>
      <c r="D1044" s="4" t="inlineStr">
        <is>
          <t>张军</t>
        </is>
      </c>
      <c r="E1044" s="7" t="n">
        <v>3930</v>
      </c>
      <c r="F1044" s="7" t="n">
        <v>4126.5</v>
      </c>
      <c r="G1044" s="7">
        <f>E1044-F1044</f>
        <v/>
      </c>
      <c r="H1044" s="8">
        <f>IFERROR(F1044/E1044,0)</f>
        <v/>
      </c>
      <c r="I1044" s="4">
        <f>IF(H1044&gt;=1,"超预算",IF(H1044&gt;=0.9,"预警","正常"))</f>
        <v/>
      </c>
      <c r="J1044" s="4">
        <f>RANK(F1044,$F$4:$F$1203,0)</f>
        <v/>
      </c>
      <c r="K1044" s="4" t="inlineStr">
        <is>
          <t>完工</t>
        </is>
      </c>
    </row>
    <row r="1045">
      <c r="A1045" s="4" t="n">
        <v>1042</v>
      </c>
      <c r="B1045" s="5" t="inlineStr">
        <is>
          <t>PJ-2026-1042</t>
        </is>
      </c>
      <c r="C1045" s="6" t="inlineStr">
        <is>
          <t>解放路老旧小区改造项目（二期）</t>
        </is>
      </c>
      <c r="D1045" s="4" t="inlineStr">
        <is>
          <t>王明</t>
        </is>
      </c>
      <c r="E1045" s="7" t="n">
        <v>4067</v>
      </c>
      <c r="F1045" s="7" t="n">
        <v>2602.88</v>
      </c>
      <c r="G1045" s="7">
        <f>E1045-F1045</f>
        <v/>
      </c>
      <c r="H1045" s="8">
        <f>IFERROR(F1045/E1045,0)</f>
        <v/>
      </c>
      <c r="I1045" s="4">
        <f>IF(H1045&gt;=1,"超预算",IF(H1045&gt;=0.9,"预警","正常"))</f>
        <v/>
      </c>
      <c r="J1045" s="4">
        <f>RANK(F1045,$F$4:$F$1203,0)</f>
        <v/>
      </c>
      <c r="K1045" s="4" t="inlineStr">
        <is>
          <t>在建</t>
        </is>
      </c>
    </row>
    <row r="1046">
      <c r="A1046" s="4" t="n">
        <v>1043</v>
      </c>
      <c r="B1046" s="5" t="inlineStr">
        <is>
          <t>PJ-2026-1043</t>
        </is>
      </c>
      <c r="C1046" s="6" t="inlineStr">
        <is>
          <t>和平街智慧园区建设项目（三期）</t>
        </is>
      </c>
      <c r="D1046" s="4" t="inlineStr">
        <is>
          <t>李桂</t>
        </is>
      </c>
      <c r="E1046" s="7" t="n">
        <v>4204</v>
      </c>
      <c r="F1046" s="7" t="n">
        <v>3909.72</v>
      </c>
      <c r="G1046" s="7">
        <f>E1046-F1046</f>
        <v/>
      </c>
      <c r="H1046" s="8">
        <f>IFERROR(F1046/E1046,0)</f>
        <v/>
      </c>
      <c r="I1046" s="4">
        <f>IF(H1046&gt;=1,"超预算",IF(H1046&gt;=0.9,"预警","正常"))</f>
        <v/>
      </c>
      <c r="J1046" s="4">
        <f>RANK(F1046,$F$4:$F$1203,0)</f>
        <v/>
      </c>
      <c r="K1046" s="4" t="inlineStr">
        <is>
          <t>待启动</t>
        </is>
      </c>
    </row>
    <row r="1047">
      <c r="A1047" s="4" t="n">
        <v>1044</v>
      </c>
      <c r="B1047" s="5" t="inlineStr">
        <is>
          <t>PJ-2026-1044</t>
        </is>
      </c>
      <c r="C1047" s="6" t="inlineStr">
        <is>
          <t>光明街污水处理扩容工程（四期）</t>
        </is>
      </c>
      <c r="D1047" s="4" t="inlineStr">
        <is>
          <t>赵丽</t>
        </is>
      </c>
      <c r="E1047" s="7" t="n">
        <v>4341</v>
      </c>
      <c r="F1047" s="7" t="n">
        <v>2257.32</v>
      </c>
      <c r="G1047" s="7">
        <f>E1047-F1047</f>
        <v/>
      </c>
      <c r="H1047" s="8">
        <f>IFERROR(F1047/E1047,0)</f>
        <v/>
      </c>
      <c r="I1047" s="4">
        <f>IF(H1047&gt;=1,"超预算",IF(H1047&gt;=0.9,"预警","正常"))</f>
        <v/>
      </c>
      <c r="J1047" s="4">
        <f>RANK(F1047,$F$4:$F$1203,0)</f>
        <v/>
      </c>
      <c r="K1047" s="4" t="inlineStr">
        <is>
          <t>完工</t>
        </is>
      </c>
    </row>
    <row r="1048">
      <c r="A1048" s="4" t="n">
        <v>1045</v>
      </c>
      <c r="B1048" s="5" t="inlineStr">
        <is>
          <t>PJ-2026-1045</t>
        </is>
      </c>
      <c r="C1048" s="6" t="inlineStr">
        <is>
          <t>城东路供水管网更新工程</t>
        </is>
      </c>
      <c r="D1048" s="4" t="inlineStr">
        <is>
          <t>刘杰</t>
        </is>
      </c>
      <c r="E1048" s="7" t="n">
        <v>4478</v>
      </c>
      <c r="F1048" s="7" t="n">
        <v>3627.18</v>
      </c>
      <c r="G1048" s="7">
        <f>E1048-F1048</f>
        <v/>
      </c>
      <c r="H1048" s="8">
        <f>IFERROR(F1048/E1048,0)</f>
        <v/>
      </c>
      <c r="I1048" s="4">
        <f>IF(H1048&gt;=1,"超预算",IF(H1048&gt;=0.9,"预警","正常"))</f>
        <v/>
      </c>
      <c r="J1048" s="4">
        <f>RANK(F1048,$F$4:$F$1203,0)</f>
        <v/>
      </c>
      <c r="K1048" s="4" t="inlineStr">
        <is>
          <t>在建</t>
        </is>
      </c>
    </row>
    <row r="1049">
      <c r="A1049" s="4" t="n">
        <v>1046</v>
      </c>
      <c r="B1049" s="5" t="inlineStr">
        <is>
          <t>PJ-2026-1046</t>
        </is>
      </c>
      <c r="C1049" s="6" t="inlineStr">
        <is>
          <t>解放路河道综合整治工程（二期）</t>
        </is>
      </c>
      <c r="D1049" s="4" t="inlineStr">
        <is>
          <t>陈霞</t>
        </is>
      </c>
      <c r="E1049" s="7" t="n">
        <v>4615</v>
      </c>
      <c r="F1049" s="7" t="n">
        <v>5076.5</v>
      </c>
      <c r="G1049" s="7">
        <f>E1049-F1049</f>
        <v/>
      </c>
      <c r="H1049" s="8">
        <f>IFERROR(F1049/E1049,0)</f>
        <v/>
      </c>
      <c r="I1049" s="4">
        <f>IF(H1049&gt;=1,"超预算",IF(H1049&gt;=0.9,"预警","正常"))</f>
        <v/>
      </c>
      <c r="J1049" s="4">
        <f>RANK(F1049,$F$4:$F$1203,0)</f>
        <v/>
      </c>
      <c r="K1049" s="4" t="inlineStr">
        <is>
          <t>待启动</t>
        </is>
      </c>
    </row>
    <row r="1050">
      <c r="A1050" s="4" t="n">
        <v>1047</v>
      </c>
      <c r="B1050" s="5" t="inlineStr">
        <is>
          <t>PJ-2026-1047</t>
        </is>
      </c>
      <c r="C1050" s="6" t="inlineStr">
        <is>
          <t>和平街学校新建工程（三期）</t>
        </is>
      </c>
      <c r="D1050" s="4" t="inlineStr">
        <is>
          <t>杨娜</t>
        </is>
      </c>
      <c r="E1050" s="7" t="n">
        <v>4752</v>
      </c>
      <c r="F1050" s="7" t="n">
        <v>3278.88</v>
      </c>
      <c r="G1050" s="7">
        <f>E1050-F1050</f>
        <v/>
      </c>
      <c r="H1050" s="8">
        <f>IFERROR(F1050/E1050,0)</f>
        <v/>
      </c>
      <c r="I1050" s="4">
        <f>IF(H1050&gt;=1,"超预算",IF(H1050&gt;=0.9,"预警","正常"))</f>
        <v/>
      </c>
      <c r="J1050" s="4">
        <f>RANK(F1050,$F$4:$F$1203,0)</f>
        <v/>
      </c>
      <c r="K1050" s="4" t="inlineStr">
        <is>
          <t>完工</t>
        </is>
      </c>
    </row>
    <row r="1051">
      <c r="A1051" s="4" t="n">
        <v>1048</v>
      </c>
      <c r="B1051" s="5" t="inlineStr">
        <is>
          <t>PJ-2026-1048</t>
        </is>
      </c>
      <c r="C1051" s="6" t="inlineStr">
        <is>
          <t>光明街医院改扩建项目（四期）</t>
        </is>
      </c>
      <c r="D1051" s="4" t="inlineStr">
        <is>
          <t>黄洋</t>
        </is>
      </c>
      <c r="E1051" s="7" t="n">
        <v>4889</v>
      </c>
      <c r="F1051" s="7" t="n">
        <v>4791.22</v>
      </c>
      <c r="G1051" s="7">
        <f>E1051-F1051</f>
        <v/>
      </c>
      <c r="H1051" s="8">
        <f>IFERROR(F1051/E1051,0)</f>
        <v/>
      </c>
      <c r="I1051" s="4">
        <f>IF(H1051&gt;=1,"超预算",IF(H1051&gt;=0.9,"预警","正常"))</f>
        <v/>
      </c>
      <c r="J1051" s="4">
        <f>RANK(F1051,$F$4:$F$1203,0)</f>
        <v/>
      </c>
      <c r="K1051" s="4" t="inlineStr">
        <is>
          <t>在建</t>
        </is>
      </c>
    </row>
    <row r="1052">
      <c r="A1052" s="4" t="n">
        <v>1049</v>
      </c>
      <c r="B1052" s="5" t="inlineStr">
        <is>
          <t>PJ-2026-1049</t>
        </is>
      </c>
      <c r="C1052" s="6" t="inlineStr">
        <is>
          <t>城东路公交枢纽建设工程</t>
        </is>
      </c>
      <c r="D1052" s="4" t="inlineStr">
        <is>
          <t>周超</t>
        </is>
      </c>
      <c r="E1052" s="7" t="n">
        <v>76</v>
      </c>
      <c r="F1052" s="7" t="n">
        <v>43.32</v>
      </c>
      <c r="G1052" s="7">
        <f>E1052-F1052</f>
        <v/>
      </c>
      <c r="H1052" s="8">
        <f>IFERROR(F1052/E1052,0)</f>
        <v/>
      </c>
      <c r="I1052" s="4">
        <f>IF(H1052&gt;=1,"超预算",IF(H1052&gt;=0.9,"预警","正常"))</f>
        <v/>
      </c>
      <c r="J1052" s="4">
        <f>RANK(F1052,$F$4:$F$1203,0)</f>
        <v/>
      </c>
      <c r="K1052" s="4" t="inlineStr">
        <is>
          <t>待启动</t>
        </is>
      </c>
    </row>
    <row r="1053">
      <c r="A1053" s="4" t="n">
        <v>1050</v>
      </c>
      <c r="B1053" s="5" t="inlineStr">
        <is>
          <t>PJ-2026-1050</t>
        </is>
      </c>
      <c r="C1053" s="6" t="inlineStr">
        <is>
          <t>解放路公共停车场建设工程（二期）</t>
        </is>
      </c>
      <c r="D1053" s="4" t="inlineStr">
        <is>
          <t>吴英</t>
        </is>
      </c>
      <c r="E1053" s="7" t="n">
        <v>213</v>
      </c>
      <c r="F1053" s="7" t="n">
        <v>183.18</v>
      </c>
      <c r="G1053" s="7">
        <f>E1053-F1053</f>
        <v/>
      </c>
      <c r="H1053" s="8">
        <f>IFERROR(F1053/E1053,0)</f>
        <v/>
      </c>
      <c r="I1053" s="4">
        <f>IF(H1053&gt;=1,"超预算",IF(H1053&gt;=0.9,"预警","正常"))</f>
        <v/>
      </c>
      <c r="J1053" s="4">
        <f>RANK(F1053,$F$4:$F$1203,0)</f>
        <v/>
      </c>
      <c r="K1053" s="4" t="inlineStr">
        <is>
          <t>完工</t>
        </is>
      </c>
    </row>
    <row r="1054">
      <c r="A1054" s="4" t="n">
        <v>1051</v>
      </c>
      <c r="B1054" s="5" t="inlineStr">
        <is>
          <t>PJ-2026-1051</t>
        </is>
      </c>
      <c r="C1054" s="6" t="inlineStr">
        <is>
          <t>和平街道路改造工程（三期）</t>
        </is>
      </c>
      <c r="D1054" s="4" t="inlineStr">
        <is>
          <t>徐强</t>
        </is>
      </c>
      <c r="E1054" s="7" t="n">
        <v>350</v>
      </c>
      <c r="F1054" s="7" t="n">
        <v>157.5</v>
      </c>
      <c r="G1054" s="7">
        <f>E1054-F1054</f>
        <v/>
      </c>
      <c r="H1054" s="8">
        <f>IFERROR(F1054/E1054,0)</f>
        <v/>
      </c>
      <c r="I1054" s="4">
        <f>IF(H1054&gt;=1,"超预算",IF(H1054&gt;=0.9,"预警","正常"))</f>
        <v/>
      </c>
      <c r="J1054" s="4">
        <f>RANK(F1054,$F$4:$F$1203,0)</f>
        <v/>
      </c>
      <c r="K1054" s="4" t="inlineStr">
        <is>
          <t>在建</t>
        </is>
      </c>
    </row>
    <row r="1055">
      <c r="A1055" s="4" t="n">
        <v>1052</v>
      </c>
      <c r="B1055" s="5" t="inlineStr">
        <is>
          <t>PJ-2026-1052</t>
        </is>
      </c>
      <c r="C1055" s="6" t="inlineStr">
        <is>
          <t>光明街老旧小区改造项目（四期）</t>
        </is>
      </c>
      <c r="D1055" s="4" t="inlineStr">
        <is>
          <t>孙娟</t>
        </is>
      </c>
      <c r="E1055" s="7" t="n">
        <v>487</v>
      </c>
      <c r="F1055" s="7" t="n">
        <v>360.38</v>
      </c>
      <c r="G1055" s="7">
        <f>E1055-F1055</f>
        <v/>
      </c>
      <c r="H1055" s="8">
        <f>IFERROR(F1055/E1055,0)</f>
        <v/>
      </c>
      <c r="I1055" s="4">
        <f>IF(H1055&gt;=1,"超预算",IF(H1055&gt;=0.9,"预警","正常"))</f>
        <v/>
      </c>
      <c r="J1055" s="4">
        <f>RANK(F1055,$F$4:$F$1203,0)</f>
        <v/>
      </c>
      <c r="K1055" s="4" t="inlineStr">
        <is>
          <t>待启动</t>
        </is>
      </c>
    </row>
    <row r="1056">
      <c r="A1056" s="4" t="n">
        <v>1053</v>
      </c>
      <c r="B1056" s="5" t="inlineStr">
        <is>
          <t>PJ-2026-1053</t>
        </is>
      </c>
      <c r="C1056" s="6" t="inlineStr">
        <is>
          <t>城东路智慧园区建设项目</t>
        </is>
      </c>
      <c r="D1056" s="4" t="inlineStr">
        <is>
          <t>马平</t>
        </is>
      </c>
      <c r="E1056" s="7" t="n">
        <v>624</v>
      </c>
      <c r="F1056" s="7" t="n">
        <v>642.72</v>
      </c>
      <c r="G1056" s="7">
        <f>E1056-F1056</f>
        <v/>
      </c>
      <c r="H1056" s="8">
        <f>IFERROR(F1056/E1056,0)</f>
        <v/>
      </c>
      <c r="I1056" s="4">
        <f>IF(H1056&gt;=1,"超预算",IF(H1056&gt;=0.9,"预警","正常"))</f>
        <v/>
      </c>
      <c r="J1056" s="4">
        <f>RANK(F1056,$F$4:$F$1203,0)</f>
        <v/>
      </c>
      <c r="K1056" s="4" t="inlineStr">
        <is>
          <t>完工</t>
        </is>
      </c>
    </row>
    <row r="1057">
      <c r="A1057" s="4" t="n">
        <v>1054</v>
      </c>
      <c r="B1057" s="5" t="inlineStr">
        <is>
          <t>PJ-2026-1054</t>
        </is>
      </c>
      <c r="C1057" s="6" t="inlineStr">
        <is>
          <t>解放路污水处理扩容工程（二期）</t>
        </is>
      </c>
      <c r="D1057" s="4" t="inlineStr">
        <is>
          <t>朱敏</t>
        </is>
      </c>
      <c r="E1057" s="7" t="n">
        <v>761</v>
      </c>
      <c r="F1057" s="7" t="n">
        <v>471.82</v>
      </c>
      <c r="G1057" s="7">
        <f>E1057-F1057</f>
        <v/>
      </c>
      <c r="H1057" s="8">
        <f>IFERROR(F1057/E1057,0)</f>
        <v/>
      </c>
      <c r="I1057" s="4">
        <f>IF(H1057&gt;=1,"超预算",IF(H1057&gt;=0.9,"预警","正常"))</f>
        <v/>
      </c>
      <c r="J1057" s="4">
        <f>RANK(F1057,$F$4:$F$1203,0)</f>
        <v/>
      </c>
      <c r="K1057" s="4" t="inlineStr">
        <is>
          <t>在建</t>
        </is>
      </c>
    </row>
    <row r="1058">
      <c r="A1058" s="4" t="n">
        <v>1055</v>
      </c>
      <c r="B1058" s="5" t="inlineStr">
        <is>
          <t>PJ-2026-1055</t>
        </is>
      </c>
      <c r="C1058" s="6" t="inlineStr">
        <is>
          <t>和平街供水管网更新工程（三期）</t>
        </is>
      </c>
      <c r="D1058" s="4" t="inlineStr">
        <is>
          <t>胡勇</t>
        </is>
      </c>
      <c r="E1058" s="7" t="n">
        <v>898</v>
      </c>
      <c r="F1058" s="7" t="n">
        <v>817.1799999999999</v>
      </c>
      <c r="G1058" s="7">
        <f>E1058-F1058</f>
        <v/>
      </c>
      <c r="H1058" s="8">
        <f>IFERROR(F1058/E1058,0)</f>
        <v/>
      </c>
      <c r="I1058" s="4">
        <f>IF(H1058&gt;=1,"超预算",IF(H1058&gt;=0.9,"预警","正常"))</f>
        <v/>
      </c>
      <c r="J1058" s="4">
        <f>RANK(F1058,$F$4:$F$1203,0)</f>
        <v/>
      </c>
      <c r="K1058" s="4" t="inlineStr">
        <is>
          <t>待启动</t>
        </is>
      </c>
    </row>
    <row r="1059">
      <c r="A1059" s="4" t="n">
        <v>1056</v>
      </c>
      <c r="B1059" s="5" t="inlineStr">
        <is>
          <t>PJ-2026-1056</t>
        </is>
      </c>
      <c r="C1059" s="6" t="inlineStr">
        <is>
          <t>光明街河道综合整治工程（四期）</t>
        </is>
      </c>
      <c r="D1059" s="4" t="inlineStr">
        <is>
          <t>郭秀</t>
        </is>
      </c>
      <c r="E1059" s="7" t="n">
        <v>1035</v>
      </c>
      <c r="F1059" s="7" t="n">
        <v>517.5</v>
      </c>
      <c r="G1059" s="7">
        <f>E1059-F1059</f>
        <v/>
      </c>
      <c r="H1059" s="8">
        <f>IFERROR(F1059/E1059,0)</f>
        <v/>
      </c>
      <c r="I1059" s="4">
        <f>IF(H1059&gt;=1,"超预算",IF(H1059&gt;=0.9,"预警","正常"))</f>
        <v/>
      </c>
      <c r="J1059" s="4">
        <f>RANK(F1059,$F$4:$F$1203,0)</f>
        <v/>
      </c>
      <c r="K1059" s="4" t="inlineStr">
        <is>
          <t>完工</t>
        </is>
      </c>
    </row>
    <row r="1060">
      <c r="A1060" s="4" t="n">
        <v>1057</v>
      </c>
      <c r="B1060" s="5" t="inlineStr">
        <is>
          <t>PJ-2026-1057</t>
        </is>
      </c>
      <c r="C1060" s="6" t="inlineStr">
        <is>
          <t>城东路学校新建工程</t>
        </is>
      </c>
      <c r="D1060" s="4" t="inlineStr">
        <is>
          <t>何伟</t>
        </is>
      </c>
      <c r="E1060" s="7" t="n">
        <v>1172</v>
      </c>
      <c r="F1060" s="7" t="n">
        <v>925.88</v>
      </c>
      <c r="G1060" s="7">
        <f>E1060-F1060</f>
        <v/>
      </c>
      <c r="H1060" s="8">
        <f>IFERROR(F1060/E1060,0)</f>
        <v/>
      </c>
      <c r="I1060" s="4">
        <f>IF(H1060&gt;=1,"超预算",IF(H1060&gt;=0.9,"预警","正常"))</f>
        <v/>
      </c>
      <c r="J1060" s="4">
        <f>RANK(F1060,$F$4:$F$1203,0)</f>
        <v/>
      </c>
      <c r="K1060" s="4" t="inlineStr">
        <is>
          <t>在建</t>
        </is>
      </c>
    </row>
    <row r="1061">
      <c r="A1061" s="4" t="n">
        <v>1058</v>
      </c>
      <c r="B1061" s="5" t="inlineStr">
        <is>
          <t>PJ-2026-1058</t>
        </is>
      </c>
      <c r="C1061" s="6" t="inlineStr">
        <is>
          <t>解放路医院改扩建项目（二期）</t>
        </is>
      </c>
      <c r="D1061" s="4" t="inlineStr">
        <is>
          <t>高磊</t>
        </is>
      </c>
      <c r="E1061" s="7" t="n">
        <v>1309</v>
      </c>
      <c r="F1061" s="7" t="n">
        <v>1413.72</v>
      </c>
      <c r="G1061" s="7">
        <f>E1061-F1061</f>
        <v/>
      </c>
      <c r="H1061" s="8">
        <f>IFERROR(F1061/E1061,0)</f>
        <v/>
      </c>
      <c r="I1061" s="4">
        <f>IF(H1061&gt;=1,"超预算",IF(H1061&gt;=0.9,"预警","正常"))</f>
        <v/>
      </c>
      <c r="J1061" s="4">
        <f>RANK(F1061,$F$4:$F$1203,0)</f>
        <v/>
      </c>
      <c r="K1061" s="4" t="inlineStr">
        <is>
          <t>待启动</t>
        </is>
      </c>
    </row>
    <row r="1062">
      <c r="A1062" s="4" t="n">
        <v>1059</v>
      </c>
      <c r="B1062" s="5" t="inlineStr">
        <is>
          <t>PJ-2026-1059</t>
        </is>
      </c>
      <c r="C1062" s="6" t="inlineStr">
        <is>
          <t>和平街公交枢纽建设工程（三期）</t>
        </is>
      </c>
      <c r="D1062" s="4" t="inlineStr">
        <is>
          <t>林涛</t>
        </is>
      </c>
      <c r="E1062" s="7" t="n">
        <v>1446</v>
      </c>
      <c r="F1062" s="7" t="n">
        <v>968.8200000000001</v>
      </c>
      <c r="G1062" s="7">
        <f>E1062-F1062</f>
        <v/>
      </c>
      <c r="H1062" s="8">
        <f>IFERROR(F1062/E1062,0)</f>
        <v/>
      </c>
      <c r="I1062" s="4">
        <f>IF(H1062&gt;=1,"超预算",IF(H1062&gt;=0.9,"预警","正常"))</f>
        <v/>
      </c>
      <c r="J1062" s="4">
        <f>RANK(F1062,$F$4:$F$1203,0)</f>
        <v/>
      </c>
      <c r="K1062" s="4" t="inlineStr">
        <is>
          <t>完工</t>
        </is>
      </c>
    </row>
    <row r="1063">
      <c r="A1063" s="4" t="n">
        <v>1060</v>
      </c>
      <c r="B1063" s="5" t="inlineStr">
        <is>
          <t>PJ-2026-1060</t>
        </is>
      </c>
      <c r="C1063" s="6" t="inlineStr">
        <is>
          <t>光明街公共停车场建设工程（四期）</t>
        </is>
      </c>
      <c r="D1063" s="4" t="inlineStr">
        <is>
          <t>罗刚</t>
        </is>
      </c>
      <c r="E1063" s="7" t="n">
        <v>1583</v>
      </c>
      <c r="F1063" s="7" t="n">
        <v>1519.68</v>
      </c>
      <c r="G1063" s="7">
        <f>E1063-F1063</f>
        <v/>
      </c>
      <c r="H1063" s="8">
        <f>IFERROR(F1063/E1063,0)</f>
        <v/>
      </c>
      <c r="I1063" s="4">
        <f>IF(H1063&gt;=1,"超预算",IF(H1063&gt;=0.9,"预警","正常"))</f>
        <v/>
      </c>
      <c r="J1063" s="4">
        <f>RANK(F1063,$F$4:$F$1203,0)</f>
        <v/>
      </c>
      <c r="K1063" s="4" t="inlineStr">
        <is>
          <t>在建</t>
        </is>
      </c>
    </row>
    <row r="1064">
      <c r="A1064" s="4" t="n">
        <v>1061</v>
      </c>
      <c r="B1064" s="5" t="inlineStr">
        <is>
          <t>PJ-2026-1061</t>
        </is>
      </c>
      <c r="C1064" s="6" t="inlineStr">
        <is>
          <t>城东路道路改造工程</t>
        </is>
      </c>
      <c r="D1064" s="4" t="inlineStr">
        <is>
          <t>张静</t>
        </is>
      </c>
      <c r="E1064" s="7" t="n">
        <v>1720</v>
      </c>
      <c r="F1064" s="7" t="n">
        <v>946</v>
      </c>
      <c r="G1064" s="7">
        <f>E1064-F1064</f>
        <v/>
      </c>
      <c r="H1064" s="8">
        <f>IFERROR(F1064/E1064,0)</f>
        <v/>
      </c>
      <c r="I1064" s="4">
        <f>IF(H1064&gt;=1,"超预算",IF(H1064&gt;=0.9,"预警","正常"))</f>
        <v/>
      </c>
      <c r="J1064" s="4">
        <f>RANK(F1064,$F$4:$F$1203,0)</f>
        <v/>
      </c>
      <c r="K1064" s="4" t="inlineStr">
        <is>
          <t>待启动</t>
        </is>
      </c>
    </row>
    <row r="1065">
      <c r="A1065" s="4" t="n">
        <v>1062</v>
      </c>
      <c r="B1065" s="5" t="inlineStr">
        <is>
          <t>PJ-2026-1062</t>
        </is>
      </c>
      <c r="C1065" s="6" t="inlineStr">
        <is>
          <t>解放路老旧小区改造项目（二期）</t>
        </is>
      </c>
      <c r="D1065" s="4" t="inlineStr">
        <is>
          <t>王艳</t>
        </is>
      </c>
      <c r="E1065" s="7" t="n">
        <v>1857</v>
      </c>
      <c r="F1065" s="7" t="n">
        <v>1559.88</v>
      </c>
      <c r="G1065" s="7">
        <f>E1065-F1065</f>
        <v/>
      </c>
      <c r="H1065" s="8">
        <f>IFERROR(F1065/E1065,0)</f>
        <v/>
      </c>
      <c r="I1065" s="4">
        <f>IF(H1065&gt;=1,"超预算",IF(H1065&gt;=0.9,"预警","正常"))</f>
        <v/>
      </c>
      <c r="J1065" s="4">
        <f>RANK(F1065,$F$4:$F$1203,0)</f>
        <v/>
      </c>
      <c r="K1065" s="4" t="inlineStr">
        <is>
          <t>完工</t>
        </is>
      </c>
    </row>
    <row r="1066">
      <c r="A1066" s="4" t="n">
        <v>1063</v>
      </c>
      <c r="B1066" s="5" t="inlineStr">
        <is>
          <t>PJ-2026-1063</t>
        </is>
      </c>
      <c r="C1066" s="6" t="inlineStr">
        <is>
          <t>和平街智慧园区建设项目（三期）</t>
        </is>
      </c>
      <c r="D1066" s="4" t="inlineStr">
        <is>
          <t>李英</t>
        </is>
      </c>
      <c r="E1066" s="7" t="n">
        <v>1994</v>
      </c>
      <c r="F1066" s="7" t="n">
        <v>2253.22</v>
      </c>
      <c r="G1066" s="7">
        <f>E1066-F1066</f>
        <v/>
      </c>
      <c r="H1066" s="8">
        <f>IFERROR(F1066/E1066,0)</f>
        <v/>
      </c>
      <c r="I1066" s="4">
        <f>IF(H1066&gt;=1,"超预算",IF(H1066&gt;=0.9,"预警","正常"))</f>
        <v/>
      </c>
      <c r="J1066" s="4">
        <f>RANK(F1066,$F$4:$F$1203,0)</f>
        <v/>
      </c>
      <c r="K1066" s="4" t="inlineStr">
        <is>
          <t>在建</t>
        </is>
      </c>
    </row>
    <row r="1067">
      <c r="A1067" s="4" t="n">
        <v>1064</v>
      </c>
      <c r="B1067" s="5" t="inlineStr">
        <is>
          <t>PJ-2026-1064</t>
        </is>
      </c>
      <c r="C1067" s="6" t="inlineStr">
        <is>
          <t>光明街污水处理扩容工程（四期）</t>
        </is>
      </c>
      <c r="D1067" s="4" t="inlineStr">
        <is>
          <t>赵芳</t>
        </is>
      </c>
      <c r="E1067" s="7" t="n">
        <v>2131</v>
      </c>
      <c r="F1067" s="7" t="n">
        <v>1534.32</v>
      </c>
      <c r="G1067" s="7">
        <f>E1067-F1067</f>
        <v/>
      </c>
      <c r="H1067" s="8">
        <f>IFERROR(F1067/E1067,0)</f>
        <v/>
      </c>
      <c r="I1067" s="4">
        <f>IF(H1067&gt;=1,"超预算",IF(H1067&gt;=0.9,"预警","正常"))</f>
        <v/>
      </c>
      <c r="J1067" s="4">
        <f>RANK(F1067,$F$4:$F$1203,0)</f>
        <v/>
      </c>
      <c r="K1067" s="4" t="inlineStr">
        <is>
          <t>待启动</t>
        </is>
      </c>
    </row>
    <row r="1068">
      <c r="A1068" s="4" t="n">
        <v>1065</v>
      </c>
      <c r="B1068" s="5" t="inlineStr">
        <is>
          <t>PJ-2026-1065</t>
        </is>
      </c>
      <c r="C1068" s="6" t="inlineStr">
        <is>
          <t>城东路供水管网更新工程</t>
        </is>
      </c>
      <c r="D1068" s="4" t="inlineStr">
        <is>
          <t>刘军</t>
        </is>
      </c>
      <c r="E1068" s="7" t="n">
        <v>2268</v>
      </c>
      <c r="F1068" s="7" t="n">
        <v>2290.68</v>
      </c>
      <c r="G1068" s="7">
        <f>E1068-F1068</f>
        <v/>
      </c>
      <c r="H1068" s="8">
        <f>IFERROR(F1068/E1068,0)</f>
        <v/>
      </c>
      <c r="I1068" s="4">
        <f>IF(H1068&gt;=1,"超预算",IF(H1068&gt;=0.9,"预警","正常"))</f>
        <v/>
      </c>
      <c r="J1068" s="4">
        <f>RANK(F1068,$F$4:$F$1203,0)</f>
        <v/>
      </c>
      <c r="K1068" s="4" t="inlineStr">
        <is>
          <t>完工</t>
        </is>
      </c>
    </row>
    <row r="1069">
      <c r="A1069" s="4" t="n">
        <v>1066</v>
      </c>
      <c r="B1069" s="5" t="inlineStr">
        <is>
          <t>PJ-2026-1066</t>
        </is>
      </c>
      <c r="C1069" s="6" t="inlineStr">
        <is>
          <t>解放路河道综合整治工程（二期）</t>
        </is>
      </c>
      <c r="D1069" s="4" t="inlineStr">
        <is>
          <t>陈明</t>
        </is>
      </c>
      <c r="E1069" s="7" t="n">
        <v>2405</v>
      </c>
      <c r="F1069" s="7" t="n">
        <v>1443</v>
      </c>
      <c r="G1069" s="7">
        <f>E1069-F1069</f>
        <v/>
      </c>
      <c r="H1069" s="8">
        <f>IFERROR(F1069/E1069,0)</f>
        <v/>
      </c>
      <c r="I1069" s="4">
        <f>IF(H1069&gt;=1,"超预算",IF(H1069&gt;=0.9,"预警","正常"))</f>
        <v/>
      </c>
      <c r="J1069" s="4">
        <f>RANK(F1069,$F$4:$F$1203,0)</f>
        <v/>
      </c>
      <c r="K1069" s="4" t="inlineStr">
        <is>
          <t>在建</t>
        </is>
      </c>
    </row>
    <row r="1070">
      <c r="A1070" s="4" t="n">
        <v>1067</v>
      </c>
      <c r="B1070" s="5" t="inlineStr">
        <is>
          <t>PJ-2026-1067</t>
        </is>
      </c>
      <c r="C1070" s="6" t="inlineStr">
        <is>
          <t>和平街学校新建工程（三期）</t>
        </is>
      </c>
      <c r="D1070" s="4" t="inlineStr">
        <is>
          <t>杨桂</t>
        </is>
      </c>
      <c r="E1070" s="7" t="n">
        <v>2542</v>
      </c>
      <c r="F1070" s="7" t="n">
        <v>2262.38</v>
      </c>
      <c r="G1070" s="7">
        <f>E1070-F1070</f>
        <v/>
      </c>
      <c r="H1070" s="8">
        <f>IFERROR(F1070/E1070,0)</f>
        <v/>
      </c>
      <c r="I1070" s="4">
        <f>IF(H1070&gt;=1,"超预算",IF(H1070&gt;=0.9,"预警","正常"))</f>
        <v/>
      </c>
      <c r="J1070" s="4">
        <f>RANK(F1070,$F$4:$F$1203,0)</f>
        <v/>
      </c>
      <c r="K1070" s="4" t="inlineStr">
        <is>
          <t>待启动</t>
        </is>
      </c>
    </row>
    <row r="1071">
      <c r="A1071" s="4" t="n">
        <v>1068</v>
      </c>
      <c r="B1071" s="5" t="inlineStr">
        <is>
          <t>PJ-2026-1068</t>
        </is>
      </c>
      <c r="C1071" s="6" t="inlineStr">
        <is>
          <t>光明街医院改扩建项目（四期）</t>
        </is>
      </c>
      <c r="D1071" s="4" t="inlineStr">
        <is>
          <t>黄丽</t>
        </is>
      </c>
      <c r="E1071" s="7" t="n">
        <v>2679</v>
      </c>
      <c r="F1071" s="7" t="n">
        <v>1285.92</v>
      </c>
      <c r="G1071" s="7">
        <f>E1071-F1071</f>
        <v/>
      </c>
      <c r="H1071" s="8">
        <f>IFERROR(F1071/E1071,0)</f>
        <v/>
      </c>
      <c r="I1071" s="4">
        <f>IF(H1071&gt;=1,"超预算",IF(H1071&gt;=0.9,"预警","正常"))</f>
        <v/>
      </c>
      <c r="J1071" s="4">
        <f>RANK(F1071,$F$4:$F$1203,0)</f>
        <v/>
      </c>
      <c r="K1071" s="4" t="inlineStr">
        <is>
          <t>完工</t>
        </is>
      </c>
    </row>
    <row r="1072">
      <c r="A1072" s="4" t="n">
        <v>1069</v>
      </c>
      <c r="B1072" s="5" t="inlineStr">
        <is>
          <t>PJ-2026-1069</t>
        </is>
      </c>
      <c r="C1072" s="6" t="inlineStr">
        <is>
          <t>城东路公交枢纽建设工程</t>
        </is>
      </c>
      <c r="D1072" s="4" t="inlineStr">
        <is>
          <t>周杰</t>
        </is>
      </c>
      <c r="E1072" s="7" t="n">
        <v>2816</v>
      </c>
      <c r="F1072" s="7" t="n">
        <v>2168.32</v>
      </c>
      <c r="G1072" s="7">
        <f>E1072-F1072</f>
        <v/>
      </c>
      <c r="H1072" s="8">
        <f>IFERROR(F1072/E1072,0)</f>
        <v/>
      </c>
      <c r="I1072" s="4">
        <f>IF(H1072&gt;=1,"超预算",IF(H1072&gt;=0.9,"预警","正常"))</f>
        <v/>
      </c>
      <c r="J1072" s="4">
        <f>RANK(F1072,$F$4:$F$1203,0)</f>
        <v/>
      </c>
      <c r="K1072" s="4" t="inlineStr">
        <is>
          <t>在建</t>
        </is>
      </c>
    </row>
    <row r="1073">
      <c r="A1073" s="4" t="n">
        <v>1070</v>
      </c>
      <c r="B1073" s="5" t="inlineStr">
        <is>
          <t>PJ-2026-1070</t>
        </is>
      </c>
      <c r="C1073" s="6" t="inlineStr">
        <is>
          <t>解放路公共停车场建设工程（二期）</t>
        </is>
      </c>
      <c r="D1073" s="4" t="inlineStr">
        <is>
          <t>吴霞</t>
        </is>
      </c>
      <c r="E1073" s="7" t="n">
        <v>2953</v>
      </c>
      <c r="F1073" s="7" t="n">
        <v>3130.18</v>
      </c>
      <c r="G1073" s="7">
        <f>E1073-F1073</f>
        <v/>
      </c>
      <c r="H1073" s="8">
        <f>IFERROR(F1073/E1073,0)</f>
        <v/>
      </c>
      <c r="I1073" s="4">
        <f>IF(H1073&gt;=1,"超预算",IF(H1073&gt;=0.9,"预警","正常"))</f>
        <v/>
      </c>
      <c r="J1073" s="4">
        <f>RANK(F1073,$F$4:$F$1203,0)</f>
        <v/>
      </c>
      <c r="K1073" s="4" t="inlineStr">
        <is>
          <t>待启动</t>
        </is>
      </c>
    </row>
    <row r="1074">
      <c r="A1074" s="4" t="n">
        <v>1071</v>
      </c>
      <c r="B1074" s="5" t="inlineStr">
        <is>
          <t>PJ-2026-1071</t>
        </is>
      </c>
      <c r="C1074" s="6" t="inlineStr">
        <is>
          <t>和平街道路改造工程（三期）</t>
        </is>
      </c>
      <c r="D1074" s="4" t="inlineStr">
        <is>
          <t>徐娜</t>
        </is>
      </c>
      <c r="E1074" s="7" t="n">
        <v>3090</v>
      </c>
      <c r="F1074" s="7" t="n">
        <v>2008.5</v>
      </c>
      <c r="G1074" s="7">
        <f>E1074-F1074</f>
        <v/>
      </c>
      <c r="H1074" s="8">
        <f>IFERROR(F1074/E1074,0)</f>
        <v/>
      </c>
      <c r="I1074" s="4">
        <f>IF(H1074&gt;=1,"超预算",IF(H1074&gt;=0.9,"预警","正常"))</f>
        <v/>
      </c>
      <c r="J1074" s="4">
        <f>RANK(F1074,$F$4:$F$1203,0)</f>
        <v/>
      </c>
      <c r="K1074" s="4" t="inlineStr">
        <is>
          <t>完工</t>
        </is>
      </c>
    </row>
    <row r="1075">
      <c r="A1075" s="4" t="n">
        <v>1072</v>
      </c>
      <c r="B1075" s="5" t="inlineStr">
        <is>
          <t>PJ-2026-1072</t>
        </is>
      </c>
      <c r="C1075" s="6" t="inlineStr">
        <is>
          <t>光明街老旧小区改造项目（四期）</t>
        </is>
      </c>
      <c r="D1075" s="4" t="inlineStr">
        <is>
          <t>孙洋</t>
        </is>
      </c>
      <c r="E1075" s="7" t="n">
        <v>3227</v>
      </c>
      <c r="F1075" s="7" t="n">
        <v>3033.38</v>
      </c>
      <c r="G1075" s="7">
        <f>E1075-F1075</f>
        <v/>
      </c>
      <c r="H1075" s="8">
        <f>IFERROR(F1075/E1075,0)</f>
        <v/>
      </c>
      <c r="I1075" s="4">
        <f>IF(H1075&gt;=1,"超预算",IF(H1075&gt;=0.9,"预警","正常"))</f>
        <v/>
      </c>
      <c r="J1075" s="4">
        <f>RANK(F1075,$F$4:$F$1203,0)</f>
        <v/>
      </c>
      <c r="K1075" s="4" t="inlineStr">
        <is>
          <t>在建</t>
        </is>
      </c>
    </row>
    <row r="1076">
      <c r="A1076" s="4" t="n">
        <v>1073</v>
      </c>
      <c r="B1076" s="5" t="inlineStr">
        <is>
          <t>PJ-2026-1073</t>
        </is>
      </c>
      <c r="C1076" s="6" t="inlineStr">
        <is>
          <t>城东路智慧园区建设项目</t>
        </is>
      </c>
      <c r="D1076" s="4" t="inlineStr">
        <is>
          <t>马超</t>
        </is>
      </c>
      <c r="E1076" s="7" t="n">
        <v>3364</v>
      </c>
      <c r="F1076" s="7" t="n">
        <v>1782.92</v>
      </c>
      <c r="G1076" s="7">
        <f>E1076-F1076</f>
        <v/>
      </c>
      <c r="H1076" s="8">
        <f>IFERROR(F1076/E1076,0)</f>
        <v/>
      </c>
      <c r="I1076" s="4">
        <f>IF(H1076&gt;=1,"超预算",IF(H1076&gt;=0.9,"预警","正常"))</f>
        <v/>
      </c>
      <c r="J1076" s="4">
        <f>RANK(F1076,$F$4:$F$1203,0)</f>
        <v/>
      </c>
      <c r="K1076" s="4" t="inlineStr">
        <is>
          <t>待启动</t>
        </is>
      </c>
    </row>
    <row r="1077">
      <c r="A1077" s="4" t="n">
        <v>1074</v>
      </c>
      <c r="B1077" s="5" t="inlineStr">
        <is>
          <t>PJ-2026-1074</t>
        </is>
      </c>
      <c r="C1077" s="6" t="inlineStr">
        <is>
          <t>解放路污水处理扩容工程（二期）</t>
        </is>
      </c>
      <c r="D1077" s="4" t="inlineStr">
        <is>
          <t>朱英</t>
        </is>
      </c>
      <c r="E1077" s="7" t="n">
        <v>3501</v>
      </c>
      <c r="F1077" s="7" t="n">
        <v>2870.82</v>
      </c>
      <c r="G1077" s="7">
        <f>E1077-F1077</f>
        <v/>
      </c>
      <c r="H1077" s="8">
        <f>IFERROR(F1077/E1077,0)</f>
        <v/>
      </c>
      <c r="I1077" s="4">
        <f>IF(H1077&gt;=1,"超预算",IF(H1077&gt;=0.9,"预警","正常"))</f>
        <v/>
      </c>
      <c r="J1077" s="4">
        <f>RANK(F1077,$F$4:$F$1203,0)</f>
        <v/>
      </c>
      <c r="K1077" s="4" t="inlineStr">
        <is>
          <t>完工</t>
        </is>
      </c>
    </row>
    <row r="1078">
      <c r="A1078" s="4" t="n">
        <v>1075</v>
      </c>
      <c r="B1078" s="5" t="inlineStr">
        <is>
          <t>PJ-2026-1075</t>
        </is>
      </c>
      <c r="C1078" s="6" t="inlineStr">
        <is>
          <t>和平街供水管网更新工程（三期）</t>
        </is>
      </c>
      <c r="D1078" s="4" t="inlineStr">
        <is>
          <t>胡强</t>
        </is>
      </c>
      <c r="E1078" s="7" t="n">
        <v>3638</v>
      </c>
      <c r="F1078" s="7" t="n">
        <v>4038.18</v>
      </c>
      <c r="G1078" s="7">
        <f>E1078-F1078</f>
        <v/>
      </c>
      <c r="H1078" s="8">
        <f>IFERROR(F1078/E1078,0)</f>
        <v/>
      </c>
      <c r="I1078" s="4">
        <f>IF(H1078&gt;=1,"超预算",IF(H1078&gt;=0.9,"预警","正常"))</f>
        <v/>
      </c>
      <c r="J1078" s="4">
        <f>RANK(F1078,$F$4:$F$1203,0)</f>
        <v/>
      </c>
      <c r="K1078" s="4" t="inlineStr">
        <is>
          <t>在建</t>
        </is>
      </c>
    </row>
    <row r="1079">
      <c r="A1079" s="4" t="n">
        <v>1076</v>
      </c>
      <c r="B1079" s="5" t="inlineStr">
        <is>
          <t>PJ-2026-1076</t>
        </is>
      </c>
      <c r="C1079" s="6" t="inlineStr">
        <is>
          <t>光明街河道综合整治工程（四期）</t>
        </is>
      </c>
      <c r="D1079" s="4" t="inlineStr">
        <is>
          <t>郭娟</t>
        </is>
      </c>
      <c r="E1079" s="7" t="n">
        <v>3775</v>
      </c>
      <c r="F1079" s="7" t="n">
        <v>2642.5</v>
      </c>
      <c r="G1079" s="7">
        <f>E1079-F1079</f>
        <v/>
      </c>
      <c r="H1079" s="8">
        <f>IFERROR(F1079/E1079,0)</f>
        <v/>
      </c>
      <c r="I1079" s="4">
        <f>IF(H1079&gt;=1,"超预算",IF(H1079&gt;=0.9,"预警","正常"))</f>
        <v/>
      </c>
      <c r="J1079" s="4">
        <f>RANK(F1079,$F$4:$F$1203,0)</f>
        <v/>
      </c>
      <c r="K1079" s="4" t="inlineStr">
        <is>
          <t>待启动</t>
        </is>
      </c>
    </row>
    <row r="1080">
      <c r="A1080" s="4" t="n">
        <v>1077</v>
      </c>
      <c r="B1080" s="5" t="inlineStr">
        <is>
          <t>PJ-2026-1077</t>
        </is>
      </c>
      <c r="C1080" s="6" t="inlineStr">
        <is>
          <t>城东路学校新建工程</t>
        </is>
      </c>
      <c r="D1080" s="4" t="inlineStr">
        <is>
          <t>何平</t>
        </is>
      </c>
      <c r="E1080" s="7" t="n">
        <v>3912</v>
      </c>
      <c r="F1080" s="7" t="n">
        <v>3872.88</v>
      </c>
      <c r="G1080" s="7">
        <f>E1080-F1080</f>
        <v/>
      </c>
      <c r="H1080" s="8">
        <f>IFERROR(F1080/E1080,0)</f>
        <v/>
      </c>
      <c r="I1080" s="4">
        <f>IF(H1080&gt;=1,"超预算",IF(H1080&gt;=0.9,"预警","正常"))</f>
        <v/>
      </c>
      <c r="J1080" s="4">
        <f>RANK(F1080,$F$4:$F$1203,0)</f>
        <v/>
      </c>
      <c r="K1080" s="4" t="inlineStr">
        <is>
          <t>完工</t>
        </is>
      </c>
    </row>
    <row r="1081">
      <c r="A1081" s="4" t="n">
        <v>1078</v>
      </c>
      <c r="B1081" s="5" t="inlineStr">
        <is>
          <t>PJ-2026-1078</t>
        </is>
      </c>
      <c r="C1081" s="6" t="inlineStr">
        <is>
          <t>解放路医院改扩建项目（二期）</t>
        </is>
      </c>
      <c r="D1081" s="4" t="inlineStr">
        <is>
          <t>高敏</t>
        </is>
      </c>
      <c r="E1081" s="7" t="n">
        <v>4049</v>
      </c>
      <c r="F1081" s="7" t="n">
        <v>2348.42</v>
      </c>
      <c r="G1081" s="7">
        <f>E1081-F1081</f>
        <v/>
      </c>
      <c r="H1081" s="8">
        <f>IFERROR(F1081/E1081,0)</f>
        <v/>
      </c>
      <c r="I1081" s="4">
        <f>IF(H1081&gt;=1,"超预算",IF(H1081&gt;=0.9,"预警","正常"))</f>
        <v/>
      </c>
      <c r="J1081" s="4">
        <f>RANK(F1081,$F$4:$F$1203,0)</f>
        <v/>
      </c>
      <c r="K1081" s="4" t="inlineStr">
        <is>
          <t>在建</t>
        </is>
      </c>
    </row>
    <row r="1082">
      <c r="A1082" s="4" t="n">
        <v>1079</v>
      </c>
      <c r="B1082" s="5" t="inlineStr">
        <is>
          <t>PJ-2026-1079</t>
        </is>
      </c>
      <c r="C1082" s="6" t="inlineStr">
        <is>
          <t>和平街公交枢纽建设工程（三期）</t>
        </is>
      </c>
      <c r="D1082" s="4" t="inlineStr">
        <is>
          <t>林勇</t>
        </is>
      </c>
      <c r="E1082" s="7" t="n">
        <v>4186</v>
      </c>
      <c r="F1082" s="7" t="n">
        <v>3641.82</v>
      </c>
      <c r="G1082" s="7">
        <f>E1082-F1082</f>
        <v/>
      </c>
      <c r="H1082" s="8">
        <f>IFERROR(F1082/E1082,0)</f>
        <v/>
      </c>
      <c r="I1082" s="4">
        <f>IF(H1082&gt;=1,"超预算",IF(H1082&gt;=0.9,"预警","正常"))</f>
        <v/>
      </c>
      <c r="J1082" s="4">
        <f>RANK(F1082,$F$4:$F$1203,0)</f>
        <v/>
      </c>
      <c r="K1082" s="4" t="inlineStr">
        <is>
          <t>待启动</t>
        </is>
      </c>
    </row>
    <row r="1083">
      <c r="A1083" s="4" t="n">
        <v>1080</v>
      </c>
      <c r="B1083" s="5" t="inlineStr">
        <is>
          <t>PJ-2026-1080</t>
        </is>
      </c>
      <c r="C1083" s="6" t="inlineStr">
        <is>
          <t>光明街公共停车场建设工程（四期）</t>
        </is>
      </c>
      <c r="D1083" s="4" t="inlineStr">
        <is>
          <t>罗秀</t>
        </is>
      </c>
      <c r="E1083" s="7" t="n">
        <v>4323</v>
      </c>
      <c r="F1083" s="7" t="n">
        <v>1988.58</v>
      </c>
      <c r="G1083" s="7">
        <f>E1083-F1083</f>
        <v/>
      </c>
      <c r="H1083" s="8">
        <f>IFERROR(F1083/E1083,0)</f>
        <v/>
      </c>
      <c r="I1083" s="4">
        <f>IF(H1083&gt;=1,"超预算",IF(H1083&gt;=0.9,"预警","正常"))</f>
        <v/>
      </c>
      <c r="J1083" s="4">
        <f>RANK(F1083,$F$4:$F$1203,0)</f>
        <v/>
      </c>
      <c r="K1083" s="4" t="inlineStr">
        <is>
          <t>完工</t>
        </is>
      </c>
    </row>
    <row r="1084">
      <c r="A1084" s="4" t="n">
        <v>1081</v>
      </c>
      <c r="B1084" s="5" t="inlineStr">
        <is>
          <t>PJ-2026-1081</t>
        </is>
      </c>
      <c r="C1084" s="6" t="inlineStr">
        <is>
          <t>城东路道路改造工程</t>
        </is>
      </c>
      <c r="D1084" s="4" t="inlineStr">
        <is>
          <t>张伟</t>
        </is>
      </c>
      <c r="E1084" s="7" t="n">
        <v>4460</v>
      </c>
      <c r="F1084" s="7" t="n">
        <v>3345</v>
      </c>
      <c r="G1084" s="7">
        <f>E1084-F1084</f>
        <v/>
      </c>
      <c r="H1084" s="8">
        <f>IFERROR(F1084/E1084,0)</f>
        <v/>
      </c>
      <c r="I1084" s="4">
        <f>IF(H1084&gt;=1,"超预算",IF(H1084&gt;=0.9,"预警","正常"))</f>
        <v/>
      </c>
      <c r="J1084" s="4">
        <f>RANK(F1084,$F$4:$F$1203,0)</f>
        <v/>
      </c>
      <c r="K1084" s="4" t="inlineStr">
        <is>
          <t>在建</t>
        </is>
      </c>
    </row>
    <row r="1085">
      <c r="A1085" s="4" t="n">
        <v>1082</v>
      </c>
      <c r="B1085" s="5" t="inlineStr">
        <is>
          <t>PJ-2026-1082</t>
        </is>
      </c>
      <c r="C1085" s="6" t="inlineStr">
        <is>
          <t>解放路老旧小区改造项目（二期）</t>
        </is>
      </c>
      <c r="D1085" s="4" t="inlineStr">
        <is>
          <t>王磊</t>
        </is>
      </c>
      <c r="E1085" s="7" t="n">
        <v>4597</v>
      </c>
      <c r="F1085" s="7" t="n">
        <v>4780.88</v>
      </c>
      <c r="G1085" s="7">
        <f>E1085-F1085</f>
        <v/>
      </c>
      <c r="H1085" s="8">
        <f>IFERROR(F1085/E1085,0)</f>
        <v/>
      </c>
      <c r="I1085" s="4">
        <f>IF(H1085&gt;=1,"超预算",IF(H1085&gt;=0.9,"预警","正常"))</f>
        <v/>
      </c>
      <c r="J1085" s="4">
        <f>RANK(F1085,$F$4:$F$1203,0)</f>
        <v/>
      </c>
      <c r="K1085" s="4" t="inlineStr">
        <is>
          <t>待启动</t>
        </is>
      </c>
    </row>
    <row r="1086">
      <c r="A1086" s="4" t="n">
        <v>1083</v>
      </c>
      <c r="B1086" s="5" t="inlineStr">
        <is>
          <t>PJ-2026-1083</t>
        </is>
      </c>
      <c r="C1086" s="6" t="inlineStr">
        <is>
          <t>和平街智慧园区建设项目（三期）</t>
        </is>
      </c>
      <c r="D1086" s="4" t="inlineStr">
        <is>
          <t>李涛</t>
        </is>
      </c>
      <c r="E1086" s="7" t="n">
        <v>4734</v>
      </c>
      <c r="F1086" s="7" t="n">
        <v>2982.42</v>
      </c>
      <c r="G1086" s="7">
        <f>E1086-F1086</f>
        <v/>
      </c>
      <c r="H1086" s="8">
        <f>IFERROR(F1086/E1086,0)</f>
        <v/>
      </c>
      <c r="I1086" s="4">
        <f>IF(H1086&gt;=1,"超预算",IF(H1086&gt;=0.9,"预警","正常"))</f>
        <v/>
      </c>
      <c r="J1086" s="4">
        <f>RANK(F1086,$F$4:$F$1203,0)</f>
        <v/>
      </c>
      <c r="K1086" s="4" t="inlineStr">
        <is>
          <t>完工</t>
        </is>
      </c>
    </row>
    <row r="1087">
      <c r="A1087" s="4" t="n">
        <v>1084</v>
      </c>
      <c r="B1087" s="5" t="inlineStr">
        <is>
          <t>PJ-2026-1084</t>
        </is>
      </c>
      <c r="C1087" s="6" t="inlineStr">
        <is>
          <t>光明街污水处理扩容工程（四期）</t>
        </is>
      </c>
      <c r="D1087" s="4" t="inlineStr">
        <is>
          <t>赵刚</t>
        </is>
      </c>
      <c r="E1087" s="7" t="n">
        <v>4871</v>
      </c>
      <c r="F1087" s="7" t="n">
        <v>4481.32</v>
      </c>
      <c r="G1087" s="7">
        <f>E1087-F1087</f>
        <v/>
      </c>
      <c r="H1087" s="8">
        <f>IFERROR(F1087/E1087,0)</f>
        <v/>
      </c>
      <c r="I1087" s="4">
        <f>IF(H1087&gt;=1,"超预算",IF(H1087&gt;=0.9,"预警","正常"))</f>
        <v/>
      </c>
      <c r="J1087" s="4">
        <f>RANK(F1087,$F$4:$F$1203,0)</f>
        <v/>
      </c>
      <c r="K1087" s="4" t="inlineStr">
        <is>
          <t>在建</t>
        </is>
      </c>
    </row>
    <row r="1088">
      <c r="A1088" s="4" t="n">
        <v>1085</v>
      </c>
      <c r="B1088" s="5" t="inlineStr">
        <is>
          <t>PJ-2026-1085</t>
        </is>
      </c>
      <c r="C1088" s="6" t="inlineStr">
        <is>
          <t>城东路供水管网更新工程</t>
        </is>
      </c>
      <c r="D1088" s="4" t="inlineStr">
        <is>
          <t>刘静</t>
        </is>
      </c>
      <c r="E1088" s="7" t="n">
        <v>58</v>
      </c>
      <c r="F1088" s="7" t="n">
        <v>29.58</v>
      </c>
      <c r="G1088" s="7">
        <f>E1088-F1088</f>
        <v/>
      </c>
      <c r="H1088" s="8">
        <f>IFERROR(F1088/E1088,0)</f>
        <v/>
      </c>
      <c r="I1088" s="4">
        <f>IF(H1088&gt;=1,"超预算",IF(H1088&gt;=0.9,"预警","正常"))</f>
        <v/>
      </c>
      <c r="J1088" s="4">
        <f>RANK(F1088,$F$4:$F$1203,0)</f>
        <v/>
      </c>
      <c r="K1088" s="4" t="inlineStr">
        <is>
          <t>待启动</t>
        </is>
      </c>
    </row>
    <row r="1089">
      <c r="A1089" s="4" t="n">
        <v>1086</v>
      </c>
      <c r="B1089" s="5" t="inlineStr">
        <is>
          <t>PJ-2026-1086</t>
        </is>
      </c>
      <c r="C1089" s="6" t="inlineStr">
        <is>
          <t>解放路河道综合整治工程（二期）</t>
        </is>
      </c>
      <c r="D1089" s="4" t="inlineStr">
        <is>
          <t>陈艳</t>
        </is>
      </c>
      <c r="E1089" s="7" t="n">
        <v>195</v>
      </c>
      <c r="F1089" s="7" t="n">
        <v>156</v>
      </c>
      <c r="G1089" s="7">
        <f>E1089-F1089</f>
        <v/>
      </c>
      <c r="H1089" s="8">
        <f>IFERROR(F1089/E1089,0)</f>
        <v/>
      </c>
      <c r="I1089" s="4">
        <f>IF(H1089&gt;=1,"超预算",IF(H1089&gt;=0.9,"预警","正常"))</f>
        <v/>
      </c>
      <c r="J1089" s="4">
        <f>RANK(F1089,$F$4:$F$1203,0)</f>
        <v/>
      </c>
      <c r="K1089" s="4" t="inlineStr">
        <is>
          <t>完工</t>
        </is>
      </c>
    </row>
    <row r="1090">
      <c r="A1090" s="4" t="n">
        <v>1087</v>
      </c>
      <c r="B1090" s="5" t="inlineStr">
        <is>
          <t>PJ-2026-1087</t>
        </is>
      </c>
      <c r="C1090" s="6" t="inlineStr">
        <is>
          <t>和平街学校新建工程（三期）</t>
        </is>
      </c>
      <c r="D1090" s="4" t="inlineStr">
        <is>
          <t>杨英</t>
        </is>
      </c>
      <c r="E1090" s="7" t="n">
        <v>332</v>
      </c>
      <c r="F1090" s="7" t="n">
        <v>361.88</v>
      </c>
      <c r="G1090" s="7">
        <f>E1090-F1090</f>
        <v/>
      </c>
      <c r="H1090" s="8">
        <f>IFERROR(F1090/E1090,0)</f>
        <v/>
      </c>
      <c r="I1090" s="4">
        <f>IF(H1090&gt;=1,"超预算",IF(H1090&gt;=0.9,"预警","正常"))</f>
        <v/>
      </c>
      <c r="J1090" s="4">
        <f>RANK(F1090,$F$4:$F$1203,0)</f>
        <v/>
      </c>
      <c r="K1090" s="4" t="inlineStr">
        <is>
          <t>在建</t>
        </is>
      </c>
    </row>
    <row r="1091">
      <c r="A1091" s="4" t="n">
        <v>1088</v>
      </c>
      <c r="B1091" s="5" t="inlineStr">
        <is>
          <t>PJ-2026-1088</t>
        </is>
      </c>
      <c r="C1091" s="6" t="inlineStr">
        <is>
          <t>光明街医院改扩建项目（四期）</t>
        </is>
      </c>
      <c r="D1091" s="4" t="inlineStr">
        <is>
          <t>黄芳</t>
        </is>
      </c>
      <c r="E1091" s="7" t="n">
        <v>469</v>
      </c>
      <c r="F1091" s="7" t="n">
        <v>318.92</v>
      </c>
      <c r="G1091" s="7">
        <f>E1091-F1091</f>
        <v/>
      </c>
      <c r="H1091" s="8">
        <f>IFERROR(F1091/E1091,0)</f>
        <v/>
      </c>
      <c r="I1091" s="4">
        <f>IF(H1091&gt;=1,"超预算",IF(H1091&gt;=0.9,"预警","正常"))</f>
        <v/>
      </c>
      <c r="J1091" s="4">
        <f>RANK(F1091,$F$4:$F$1203,0)</f>
        <v/>
      </c>
      <c r="K1091" s="4" t="inlineStr">
        <is>
          <t>待启动</t>
        </is>
      </c>
    </row>
    <row r="1092">
      <c r="A1092" s="4" t="n">
        <v>1089</v>
      </c>
      <c r="B1092" s="5" t="inlineStr">
        <is>
          <t>PJ-2026-1089</t>
        </is>
      </c>
      <c r="C1092" s="6" t="inlineStr">
        <is>
          <t>城东路公交枢纽建设工程</t>
        </is>
      </c>
      <c r="D1092" s="4" t="inlineStr">
        <is>
          <t>周军</t>
        </is>
      </c>
      <c r="E1092" s="7" t="n">
        <v>606</v>
      </c>
      <c r="F1092" s="7" t="n">
        <v>587.8200000000001</v>
      </c>
      <c r="G1092" s="7">
        <f>E1092-F1092</f>
        <v/>
      </c>
      <c r="H1092" s="8">
        <f>IFERROR(F1092/E1092,0)</f>
        <v/>
      </c>
      <c r="I1092" s="4">
        <f>IF(H1092&gt;=1,"超预算",IF(H1092&gt;=0.9,"预警","正常"))</f>
        <v/>
      </c>
      <c r="J1092" s="4">
        <f>RANK(F1092,$F$4:$F$1203,0)</f>
        <v/>
      </c>
      <c r="K1092" s="4" t="inlineStr">
        <is>
          <t>完工</t>
        </is>
      </c>
    </row>
    <row r="1093">
      <c r="A1093" s="4" t="n">
        <v>1090</v>
      </c>
      <c r="B1093" s="5" t="inlineStr">
        <is>
          <t>PJ-2026-1090</t>
        </is>
      </c>
      <c r="C1093" s="6" t="inlineStr">
        <is>
          <t>解放路公共停车场建设工程（二期）</t>
        </is>
      </c>
      <c r="D1093" s="4" t="inlineStr">
        <is>
          <t>吴明</t>
        </is>
      </c>
      <c r="E1093" s="7" t="n">
        <v>743</v>
      </c>
      <c r="F1093" s="7" t="n">
        <v>416.08</v>
      </c>
      <c r="G1093" s="7">
        <f>E1093-F1093</f>
        <v/>
      </c>
      <c r="H1093" s="8">
        <f>IFERROR(F1093/E1093,0)</f>
        <v/>
      </c>
      <c r="I1093" s="4">
        <f>IF(H1093&gt;=1,"超预算",IF(H1093&gt;=0.9,"预警","正常"))</f>
        <v/>
      </c>
      <c r="J1093" s="4">
        <f>RANK(F1093,$F$4:$F$1203,0)</f>
        <v/>
      </c>
      <c r="K1093" s="4" t="inlineStr">
        <is>
          <t>在建</t>
        </is>
      </c>
    </row>
    <row r="1094">
      <c r="A1094" s="4" t="n">
        <v>1091</v>
      </c>
      <c r="B1094" s="5" t="inlineStr">
        <is>
          <t>PJ-2026-1091</t>
        </is>
      </c>
      <c r="C1094" s="6" t="inlineStr">
        <is>
          <t>和平街道路改造工程（三期）</t>
        </is>
      </c>
      <c r="D1094" s="4" t="inlineStr">
        <is>
          <t>徐桂</t>
        </is>
      </c>
      <c r="E1094" s="7" t="n">
        <v>880</v>
      </c>
      <c r="F1094" s="7" t="n">
        <v>748</v>
      </c>
      <c r="G1094" s="7">
        <f>E1094-F1094</f>
        <v/>
      </c>
      <c r="H1094" s="8">
        <f>IFERROR(F1094/E1094,0)</f>
        <v/>
      </c>
      <c r="I1094" s="4">
        <f>IF(H1094&gt;=1,"超预算",IF(H1094&gt;=0.9,"预警","正常"))</f>
        <v/>
      </c>
      <c r="J1094" s="4">
        <f>RANK(F1094,$F$4:$F$1203,0)</f>
        <v/>
      </c>
      <c r="K1094" s="4" t="inlineStr">
        <is>
          <t>待启动</t>
        </is>
      </c>
    </row>
    <row r="1095">
      <c r="A1095" s="4" t="n">
        <v>1092</v>
      </c>
      <c r="B1095" s="5" t="inlineStr">
        <is>
          <t>PJ-2026-1092</t>
        </is>
      </c>
      <c r="C1095" s="6" t="inlineStr">
        <is>
          <t>光明街老旧小区改造项目（四期）</t>
        </is>
      </c>
      <c r="D1095" s="4" t="inlineStr">
        <is>
          <t>孙丽</t>
        </is>
      </c>
      <c r="E1095" s="7" t="n">
        <v>1017</v>
      </c>
      <c r="F1095" s="7" t="n">
        <v>1159.38</v>
      </c>
      <c r="G1095" s="7">
        <f>E1095-F1095</f>
        <v/>
      </c>
      <c r="H1095" s="8">
        <f>IFERROR(F1095/E1095,0)</f>
        <v/>
      </c>
      <c r="I1095" s="4">
        <f>IF(H1095&gt;=1,"超预算",IF(H1095&gt;=0.9,"预警","正常"))</f>
        <v/>
      </c>
      <c r="J1095" s="4">
        <f>RANK(F1095,$F$4:$F$1203,0)</f>
        <v/>
      </c>
      <c r="K1095" s="4" t="inlineStr">
        <is>
          <t>完工</t>
        </is>
      </c>
    </row>
    <row r="1096">
      <c r="A1096" s="4" t="n">
        <v>1093</v>
      </c>
      <c r="B1096" s="5" t="inlineStr">
        <is>
          <t>PJ-2026-1093</t>
        </is>
      </c>
      <c r="C1096" s="6" t="inlineStr">
        <is>
          <t>城东路智慧园区建设项目</t>
        </is>
      </c>
      <c r="D1096" s="4" t="inlineStr">
        <is>
          <t>马杰</t>
        </is>
      </c>
      <c r="E1096" s="7" t="n">
        <v>1154</v>
      </c>
      <c r="F1096" s="7" t="n">
        <v>842.42</v>
      </c>
      <c r="G1096" s="7">
        <f>E1096-F1096</f>
        <v/>
      </c>
      <c r="H1096" s="8">
        <f>IFERROR(F1096/E1096,0)</f>
        <v/>
      </c>
      <c r="I1096" s="4">
        <f>IF(H1096&gt;=1,"超预算",IF(H1096&gt;=0.9,"预警","正常"))</f>
        <v/>
      </c>
      <c r="J1096" s="4">
        <f>RANK(F1096,$F$4:$F$1203,0)</f>
        <v/>
      </c>
      <c r="K1096" s="4" t="inlineStr">
        <is>
          <t>在建</t>
        </is>
      </c>
    </row>
    <row r="1097">
      <c r="A1097" s="4" t="n">
        <v>1094</v>
      </c>
      <c r="B1097" s="5" t="inlineStr">
        <is>
          <t>PJ-2026-1094</t>
        </is>
      </c>
      <c r="C1097" s="6" t="inlineStr">
        <is>
          <t>解放路污水处理扩容工程（二期）</t>
        </is>
      </c>
      <c r="D1097" s="4" t="inlineStr">
        <is>
          <t>朱霞</t>
        </is>
      </c>
      <c r="E1097" s="7" t="n">
        <v>1291</v>
      </c>
      <c r="F1097" s="7" t="n">
        <v>1316.82</v>
      </c>
      <c r="G1097" s="7">
        <f>E1097-F1097</f>
        <v/>
      </c>
      <c r="H1097" s="8">
        <f>IFERROR(F1097/E1097,0)</f>
        <v/>
      </c>
      <c r="I1097" s="4">
        <f>IF(H1097&gt;=1,"超预算",IF(H1097&gt;=0.9,"预警","正常"))</f>
        <v/>
      </c>
      <c r="J1097" s="4">
        <f>RANK(F1097,$F$4:$F$1203,0)</f>
        <v/>
      </c>
      <c r="K1097" s="4" t="inlineStr">
        <is>
          <t>待启动</t>
        </is>
      </c>
    </row>
    <row r="1098">
      <c r="A1098" s="4" t="n">
        <v>1095</v>
      </c>
      <c r="B1098" s="5" t="inlineStr">
        <is>
          <t>PJ-2026-1095</t>
        </is>
      </c>
      <c r="C1098" s="6" t="inlineStr">
        <is>
          <t>和平街供水管网更新工程（三期）</t>
        </is>
      </c>
      <c r="D1098" s="4" t="inlineStr">
        <is>
          <t>胡娜</t>
        </is>
      </c>
      <c r="E1098" s="7" t="n">
        <v>1428</v>
      </c>
      <c r="F1098" s="7" t="n">
        <v>871.08</v>
      </c>
      <c r="G1098" s="7">
        <f>E1098-F1098</f>
        <v/>
      </c>
      <c r="H1098" s="8">
        <f>IFERROR(F1098/E1098,0)</f>
        <v/>
      </c>
      <c r="I1098" s="4">
        <f>IF(H1098&gt;=1,"超预算",IF(H1098&gt;=0.9,"预警","正常"))</f>
        <v/>
      </c>
      <c r="J1098" s="4">
        <f>RANK(F1098,$F$4:$F$1203,0)</f>
        <v/>
      </c>
      <c r="K1098" s="4" t="inlineStr">
        <is>
          <t>完工</t>
        </is>
      </c>
    </row>
    <row r="1099">
      <c r="A1099" s="4" t="n">
        <v>1096</v>
      </c>
      <c r="B1099" s="5" t="inlineStr">
        <is>
          <t>PJ-2026-1096</t>
        </is>
      </c>
      <c r="C1099" s="6" t="inlineStr">
        <is>
          <t>光明街河道综合整治工程（四期）</t>
        </is>
      </c>
      <c r="D1099" s="4" t="inlineStr">
        <is>
          <t>郭洋</t>
        </is>
      </c>
      <c r="E1099" s="7" t="n">
        <v>1565</v>
      </c>
      <c r="F1099" s="7" t="n">
        <v>1408.5</v>
      </c>
      <c r="G1099" s="7">
        <f>E1099-F1099</f>
        <v/>
      </c>
      <c r="H1099" s="8">
        <f>IFERROR(F1099/E1099,0)</f>
        <v/>
      </c>
      <c r="I1099" s="4">
        <f>IF(H1099&gt;=1,"超预算",IF(H1099&gt;=0.9,"预警","正常"))</f>
        <v/>
      </c>
      <c r="J1099" s="4">
        <f>RANK(F1099,$F$4:$F$1203,0)</f>
        <v/>
      </c>
      <c r="K1099" s="4" t="inlineStr">
        <is>
          <t>在建</t>
        </is>
      </c>
    </row>
    <row r="1100">
      <c r="A1100" s="4" t="n">
        <v>1097</v>
      </c>
      <c r="B1100" s="5" t="inlineStr">
        <is>
          <t>PJ-2026-1097</t>
        </is>
      </c>
      <c r="C1100" s="6" t="inlineStr">
        <is>
          <t>城东路学校新建工程</t>
        </is>
      </c>
      <c r="D1100" s="4" t="inlineStr">
        <is>
          <t>何超</t>
        </is>
      </c>
      <c r="E1100" s="7" t="n">
        <v>1702</v>
      </c>
      <c r="F1100" s="7" t="n">
        <v>833.98</v>
      </c>
      <c r="G1100" s="7">
        <f>E1100-F1100</f>
        <v/>
      </c>
      <c r="H1100" s="8">
        <f>IFERROR(F1100/E1100,0)</f>
        <v/>
      </c>
      <c r="I1100" s="4">
        <f>IF(H1100&gt;=1,"超预算",IF(H1100&gt;=0.9,"预警","正常"))</f>
        <v/>
      </c>
      <c r="J1100" s="4">
        <f>RANK(F1100,$F$4:$F$1203,0)</f>
        <v/>
      </c>
      <c r="K1100" s="4" t="inlineStr">
        <is>
          <t>待启动</t>
        </is>
      </c>
    </row>
    <row r="1101">
      <c r="A1101" s="4" t="n">
        <v>1098</v>
      </c>
      <c r="B1101" s="5" t="inlineStr">
        <is>
          <t>PJ-2026-1098</t>
        </is>
      </c>
      <c r="C1101" s="6" t="inlineStr">
        <is>
          <t>解放路医院改扩建项目（二期）</t>
        </is>
      </c>
      <c r="D1101" s="4" t="inlineStr">
        <is>
          <t>高英</t>
        </is>
      </c>
      <c r="E1101" s="7" t="n">
        <v>1839</v>
      </c>
      <c r="F1101" s="7" t="n">
        <v>1434.42</v>
      </c>
      <c r="G1101" s="7">
        <f>E1101-F1101</f>
        <v/>
      </c>
      <c r="H1101" s="8">
        <f>IFERROR(F1101/E1101,0)</f>
        <v/>
      </c>
      <c r="I1101" s="4">
        <f>IF(H1101&gt;=1,"超预算",IF(H1101&gt;=0.9,"预警","正常"))</f>
        <v/>
      </c>
      <c r="J1101" s="4">
        <f>RANK(F1101,$F$4:$F$1203,0)</f>
        <v/>
      </c>
      <c r="K1101" s="4" t="inlineStr">
        <is>
          <t>完工</t>
        </is>
      </c>
    </row>
    <row r="1102">
      <c r="A1102" s="4" t="n">
        <v>1099</v>
      </c>
      <c r="B1102" s="5" t="inlineStr">
        <is>
          <t>PJ-2026-1099</t>
        </is>
      </c>
      <c r="C1102" s="6" t="inlineStr">
        <is>
          <t>和平街公交枢纽建设工程（三期）</t>
        </is>
      </c>
      <c r="D1102" s="4" t="inlineStr">
        <is>
          <t>林强</t>
        </is>
      </c>
      <c r="E1102" s="7" t="n">
        <v>1976</v>
      </c>
      <c r="F1102" s="7" t="n">
        <v>2114.32</v>
      </c>
      <c r="G1102" s="7">
        <f>E1102-F1102</f>
        <v/>
      </c>
      <c r="H1102" s="8">
        <f>IFERROR(F1102/E1102,0)</f>
        <v/>
      </c>
      <c r="I1102" s="4">
        <f>IF(H1102&gt;=1,"超预算",IF(H1102&gt;=0.9,"预警","正常"))</f>
        <v/>
      </c>
      <c r="J1102" s="4">
        <f>RANK(F1102,$F$4:$F$1203,0)</f>
        <v/>
      </c>
      <c r="K1102" s="4" t="inlineStr">
        <is>
          <t>在建</t>
        </is>
      </c>
    </row>
    <row r="1103">
      <c r="A1103" s="4" t="n">
        <v>1100</v>
      </c>
      <c r="B1103" s="5" t="inlineStr">
        <is>
          <t>PJ-2026-1100</t>
        </is>
      </c>
      <c r="C1103" s="6" t="inlineStr">
        <is>
          <t>光明街公共停车场建设工程（四期）</t>
        </is>
      </c>
      <c r="D1103" s="4" t="inlineStr">
        <is>
          <t>罗娟</t>
        </is>
      </c>
      <c r="E1103" s="7" t="n">
        <v>2113</v>
      </c>
      <c r="F1103" s="7" t="n">
        <v>1394.58</v>
      </c>
      <c r="G1103" s="7">
        <f>E1103-F1103</f>
        <v/>
      </c>
      <c r="H1103" s="8">
        <f>IFERROR(F1103/E1103,0)</f>
        <v/>
      </c>
      <c r="I1103" s="4">
        <f>IF(H1103&gt;=1,"超预算",IF(H1103&gt;=0.9,"预警","正常"))</f>
        <v/>
      </c>
      <c r="J1103" s="4">
        <f>RANK(F1103,$F$4:$F$1203,0)</f>
        <v/>
      </c>
      <c r="K1103" s="4" t="inlineStr">
        <is>
          <t>待启动</t>
        </is>
      </c>
    </row>
    <row r="1104">
      <c r="A1104" s="4" t="n">
        <v>1101</v>
      </c>
      <c r="B1104" s="5" t="inlineStr">
        <is>
          <t>PJ-2026-1101</t>
        </is>
      </c>
      <c r="C1104" s="6" t="inlineStr">
        <is>
          <t>城东路道路改造工程</t>
        </is>
      </c>
      <c r="D1104" s="4" t="inlineStr">
        <is>
          <t>张平</t>
        </is>
      </c>
      <c r="E1104" s="7" t="n">
        <v>2250</v>
      </c>
      <c r="F1104" s="7" t="n">
        <v>2137.5</v>
      </c>
      <c r="G1104" s="7">
        <f>E1104-F1104</f>
        <v/>
      </c>
      <c r="H1104" s="8">
        <f>IFERROR(F1104/E1104,0)</f>
        <v/>
      </c>
      <c r="I1104" s="4">
        <f>IF(H1104&gt;=1,"超预算",IF(H1104&gt;=0.9,"预警","正常"))</f>
        <v/>
      </c>
      <c r="J1104" s="4">
        <f>RANK(F1104,$F$4:$F$1203,0)</f>
        <v/>
      </c>
      <c r="K1104" s="4" t="inlineStr">
        <is>
          <t>完工</t>
        </is>
      </c>
    </row>
    <row r="1105">
      <c r="A1105" s="4" t="n">
        <v>1102</v>
      </c>
      <c r="B1105" s="5" t="inlineStr">
        <is>
          <t>PJ-2026-1102</t>
        </is>
      </c>
      <c r="C1105" s="6" t="inlineStr">
        <is>
          <t>解放路老旧小区改造项目（二期）</t>
        </is>
      </c>
      <c r="D1105" s="4" t="inlineStr">
        <is>
          <t>王敏</t>
        </is>
      </c>
      <c r="E1105" s="7" t="n">
        <v>2387</v>
      </c>
      <c r="F1105" s="7" t="n">
        <v>1288.98</v>
      </c>
      <c r="G1105" s="7">
        <f>E1105-F1105</f>
        <v/>
      </c>
      <c r="H1105" s="8">
        <f>IFERROR(F1105/E1105,0)</f>
        <v/>
      </c>
      <c r="I1105" s="4">
        <f>IF(H1105&gt;=1,"超预算",IF(H1105&gt;=0.9,"预警","正常"))</f>
        <v/>
      </c>
      <c r="J1105" s="4">
        <f>RANK(F1105,$F$4:$F$1203,0)</f>
        <v/>
      </c>
      <c r="K1105" s="4" t="inlineStr">
        <is>
          <t>在建</t>
        </is>
      </c>
    </row>
    <row r="1106">
      <c r="A1106" s="4" t="n">
        <v>1103</v>
      </c>
      <c r="B1106" s="5" t="inlineStr">
        <is>
          <t>PJ-2026-1103</t>
        </is>
      </c>
      <c r="C1106" s="6" t="inlineStr">
        <is>
          <t>和平街智慧园区建设项目（三期）</t>
        </is>
      </c>
      <c r="D1106" s="4" t="inlineStr">
        <is>
          <t>李勇</t>
        </is>
      </c>
      <c r="E1106" s="7" t="n">
        <v>2524</v>
      </c>
      <c r="F1106" s="7" t="n">
        <v>2094.92</v>
      </c>
      <c r="G1106" s="7">
        <f>E1106-F1106</f>
        <v/>
      </c>
      <c r="H1106" s="8">
        <f>IFERROR(F1106/E1106,0)</f>
        <v/>
      </c>
      <c r="I1106" s="4">
        <f>IF(H1106&gt;=1,"超预算",IF(H1106&gt;=0.9,"预警","正常"))</f>
        <v/>
      </c>
      <c r="J1106" s="4">
        <f>RANK(F1106,$F$4:$F$1203,0)</f>
        <v/>
      </c>
      <c r="K1106" s="4" t="inlineStr">
        <is>
          <t>待启动</t>
        </is>
      </c>
    </row>
    <row r="1107">
      <c r="A1107" s="4" t="n">
        <v>1104</v>
      </c>
      <c r="B1107" s="5" t="inlineStr">
        <is>
          <t>PJ-2026-1104</t>
        </is>
      </c>
      <c r="C1107" s="6" t="inlineStr">
        <is>
          <t>光明街污水处理扩容工程（四期）</t>
        </is>
      </c>
      <c r="D1107" s="4" t="inlineStr">
        <is>
          <t>赵秀</t>
        </is>
      </c>
      <c r="E1107" s="7" t="n">
        <v>2661</v>
      </c>
      <c r="F1107" s="7" t="n">
        <v>2980.32</v>
      </c>
      <c r="G1107" s="7">
        <f>E1107-F1107</f>
        <v/>
      </c>
      <c r="H1107" s="8">
        <f>IFERROR(F1107/E1107,0)</f>
        <v/>
      </c>
      <c r="I1107" s="4">
        <f>IF(H1107&gt;=1,"超预算",IF(H1107&gt;=0.9,"预警","正常"))</f>
        <v/>
      </c>
      <c r="J1107" s="4">
        <f>RANK(F1107,$F$4:$F$1203,0)</f>
        <v/>
      </c>
      <c r="K1107" s="4" t="inlineStr">
        <is>
          <t>完工</t>
        </is>
      </c>
    </row>
    <row r="1108">
      <c r="A1108" s="4" t="n">
        <v>1105</v>
      </c>
      <c r="B1108" s="5" t="inlineStr">
        <is>
          <t>PJ-2026-1105</t>
        </is>
      </c>
      <c r="C1108" s="6" t="inlineStr">
        <is>
          <t>城东路供水管网更新工程</t>
        </is>
      </c>
      <c r="D1108" s="4" t="inlineStr">
        <is>
          <t>刘伟</t>
        </is>
      </c>
      <c r="E1108" s="7" t="n">
        <v>2798</v>
      </c>
      <c r="F1108" s="7" t="n">
        <v>1986.58</v>
      </c>
      <c r="G1108" s="7">
        <f>E1108-F1108</f>
        <v/>
      </c>
      <c r="H1108" s="8">
        <f>IFERROR(F1108/E1108,0)</f>
        <v/>
      </c>
      <c r="I1108" s="4">
        <f>IF(H1108&gt;=1,"超预算",IF(H1108&gt;=0.9,"预警","正常"))</f>
        <v/>
      </c>
      <c r="J1108" s="4">
        <f>RANK(F1108,$F$4:$F$1203,0)</f>
        <v/>
      </c>
      <c r="K1108" s="4" t="inlineStr">
        <is>
          <t>在建</t>
        </is>
      </c>
    </row>
    <row r="1109">
      <c r="A1109" s="4" t="n">
        <v>1106</v>
      </c>
      <c r="B1109" s="5" t="inlineStr">
        <is>
          <t>PJ-2026-1106</t>
        </is>
      </c>
      <c r="C1109" s="6" t="inlineStr">
        <is>
          <t>解放路河道综合整治工程（二期）</t>
        </is>
      </c>
      <c r="D1109" s="4" t="inlineStr">
        <is>
          <t>陈磊</t>
        </is>
      </c>
      <c r="E1109" s="7" t="n">
        <v>2935</v>
      </c>
      <c r="F1109" s="7" t="n">
        <v>2935</v>
      </c>
      <c r="G1109" s="7">
        <f>E1109-F1109</f>
        <v/>
      </c>
      <c r="H1109" s="8">
        <f>IFERROR(F1109/E1109,0)</f>
        <v/>
      </c>
      <c r="I1109" s="4">
        <f>IF(H1109&gt;=1,"超预算",IF(H1109&gt;=0.9,"预警","正常"))</f>
        <v/>
      </c>
      <c r="J1109" s="4">
        <f>RANK(F1109,$F$4:$F$1203,0)</f>
        <v/>
      </c>
      <c r="K1109" s="4" t="inlineStr">
        <is>
          <t>待启动</t>
        </is>
      </c>
    </row>
    <row r="1110">
      <c r="A1110" s="4" t="n">
        <v>1107</v>
      </c>
      <c r="B1110" s="5" t="inlineStr">
        <is>
          <t>PJ-2026-1107</t>
        </is>
      </c>
      <c r="C1110" s="6" t="inlineStr">
        <is>
          <t>和平街学校新建工程（三期）</t>
        </is>
      </c>
      <c r="D1110" s="4" t="inlineStr">
        <is>
          <t>杨涛</t>
        </is>
      </c>
      <c r="E1110" s="7" t="n">
        <v>3072</v>
      </c>
      <c r="F1110" s="7" t="n">
        <v>1812.48</v>
      </c>
      <c r="G1110" s="7">
        <f>E1110-F1110</f>
        <v/>
      </c>
      <c r="H1110" s="8">
        <f>IFERROR(F1110/E1110,0)</f>
        <v/>
      </c>
      <c r="I1110" s="4">
        <f>IF(H1110&gt;=1,"超预算",IF(H1110&gt;=0.9,"预警","正常"))</f>
        <v/>
      </c>
      <c r="J1110" s="4">
        <f>RANK(F1110,$F$4:$F$1203,0)</f>
        <v/>
      </c>
      <c r="K1110" s="4" t="inlineStr">
        <is>
          <t>完工</t>
        </is>
      </c>
    </row>
    <row r="1111">
      <c r="A1111" s="4" t="n">
        <v>1108</v>
      </c>
      <c r="B1111" s="5" t="inlineStr">
        <is>
          <t>PJ-2026-1108</t>
        </is>
      </c>
      <c r="C1111" s="6" t="inlineStr">
        <is>
          <t>光明街医院改扩建项目（四期）</t>
        </is>
      </c>
      <c r="D1111" s="4" t="inlineStr">
        <is>
          <t>黄刚</t>
        </is>
      </c>
      <c r="E1111" s="7" t="n">
        <v>3209</v>
      </c>
      <c r="F1111" s="7" t="n">
        <v>2823.92</v>
      </c>
      <c r="G1111" s="7">
        <f>E1111-F1111</f>
        <v/>
      </c>
      <c r="H1111" s="8">
        <f>IFERROR(F1111/E1111,0)</f>
        <v/>
      </c>
      <c r="I1111" s="4">
        <f>IF(H1111&gt;=1,"超预算",IF(H1111&gt;=0.9,"预警","正常"))</f>
        <v/>
      </c>
      <c r="J1111" s="4">
        <f>RANK(F1111,$F$4:$F$1203,0)</f>
        <v/>
      </c>
      <c r="K1111" s="4" t="inlineStr">
        <is>
          <t>在建</t>
        </is>
      </c>
    </row>
    <row r="1112">
      <c r="A1112" s="4" t="n">
        <v>1109</v>
      </c>
      <c r="B1112" s="5" t="inlineStr">
        <is>
          <t>PJ-2026-1109</t>
        </is>
      </c>
      <c r="C1112" s="6" t="inlineStr">
        <is>
          <t>城东路公交枢纽建设工程</t>
        </is>
      </c>
      <c r="D1112" s="4" t="inlineStr">
        <is>
          <t>周静</t>
        </is>
      </c>
      <c r="E1112" s="7" t="n">
        <v>3346</v>
      </c>
      <c r="F1112" s="7" t="n">
        <v>1572.62</v>
      </c>
      <c r="G1112" s="7">
        <f>E1112-F1112</f>
        <v/>
      </c>
      <c r="H1112" s="8">
        <f>IFERROR(F1112/E1112,0)</f>
        <v/>
      </c>
      <c r="I1112" s="4">
        <f>IF(H1112&gt;=1,"超预算",IF(H1112&gt;=0.9,"预警","正常"))</f>
        <v/>
      </c>
      <c r="J1112" s="4">
        <f>RANK(F1112,$F$4:$F$1203,0)</f>
        <v/>
      </c>
      <c r="K1112" s="4" t="inlineStr">
        <is>
          <t>待启动</t>
        </is>
      </c>
    </row>
    <row r="1113">
      <c r="A1113" s="4" t="n">
        <v>1110</v>
      </c>
      <c r="B1113" s="5" t="inlineStr">
        <is>
          <t>PJ-2026-1110</t>
        </is>
      </c>
      <c r="C1113" s="6" t="inlineStr">
        <is>
          <t>解放路公共停车场建设工程（二期）</t>
        </is>
      </c>
      <c r="D1113" s="4" t="inlineStr">
        <is>
          <t>吴艳</t>
        </is>
      </c>
      <c r="E1113" s="7" t="n">
        <v>3483</v>
      </c>
      <c r="F1113" s="7" t="n">
        <v>2647.08</v>
      </c>
      <c r="G1113" s="7">
        <f>E1113-F1113</f>
        <v/>
      </c>
      <c r="H1113" s="8">
        <f>IFERROR(F1113/E1113,0)</f>
        <v/>
      </c>
      <c r="I1113" s="4">
        <f>IF(H1113&gt;=1,"超预算",IF(H1113&gt;=0.9,"预警","正常"))</f>
        <v/>
      </c>
      <c r="J1113" s="4">
        <f>RANK(F1113,$F$4:$F$1203,0)</f>
        <v/>
      </c>
      <c r="K1113" s="4" t="inlineStr">
        <is>
          <t>完工</t>
        </is>
      </c>
    </row>
    <row r="1114">
      <c r="A1114" s="4" t="n">
        <v>1111</v>
      </c>
      <c r="B1114" s="5" t="inlineStr">
        <is>
          <t>PJ-2026-1111</t>
        </is>
      </c>
      <c r="C1114" s="6" t="inlineStr">
        <is>
          <t>和平街道路改造工程（三期）</t>
        </is>
      </c>
      <c r="D1114" s="4" t="inlineStr">
        <is>
          <t>徐英</t>
        </is>
      </c>
      <c r="E1114" s="7" t="n">
        <v>3620</v>
      </c>
      <c r="F1114" s="7" t="n">
        <v>3801</v>
      </c>
      <c r="G1114" s="7">
        <f>E1114-F1114</f>
        <v/>
      </c>
      <c r="H1114" s="8">
        <f>IFERROR(F1114/E1114,0)</f>
        <v/>
      </c>
      <c r="I1114" s="4">
        <f>IF(H1114&gt;=1,"超预算",IF(H1114&gt;=0.9,"预警","正常"))</f>
        <v/>
      </c>
      <c r="J1114" s="4">
        <f>RANK(F1114,$F$4:$F$1203,0)</f>
        <v/>
      </c>
      <c r="K1114" s="4" t="inlineStr">
        <is>
          <t>在建</t>
        </is>
      </c>
    </row>
    <row r="1115">
      <c r="A1115" s="4" t="n">
        <v>1112</v>
      </c>
      <c r="B1115" s="5" t="inlineStr">
        <is>
          <t>PJ-2026-1112</t>
        </is>
      </c>
      <c r="C1115" s="6" t="inlineStr">
        <is>
          <t>光明街老旧小区改造项目（四期）</t>
        </is>
      </c>
      <c r="D1115" s="4" t="inlineStr">
        <is>
          <t>孙芳</t>
        </is>
      </c>
      <c r="E1115" s="7" t="n">
        <v>3757</v>
      </c>
      <c r="F1115" s="7" t="n">
        <v>2404.48</v>
      </c>
      <c r="G1115" s="7">
        <f>E1115-F1115</f>
        <v/>
      </c>
      <c r="H1115" s="8">
        <f>IFERROR(F1115/E1115,0)</f>
        <v/>
      </c>
      <c r="I1115" s="4">
        <f>IF(H1115&gt;=1,"超预算",IF(H1115&gt;=0.9,"预警","正常"))</f>
        <v/>
      </c>
      <c r="J1115" s="4">
        <f>RANK(F1115,$F$4:$F$1203,0)</f>
        <v/>
      </c>
      <c r="K1115" s="4" t="inlineStr">
        <is>
          <t>待启动</t>
        </is>
      </c>
    </row>
    <row r="1116">
      <c r="A1116" s="4" t="n">
        <v>1113</v>
      </c>
      <c r="B1116" s="5" t="inlineStr">
        <is>
          <t>PJ-2026-1113</t>
        </is>
      </c>
      <c r="C1116" s="6" t="inlineStr">
        <is>
          <t>城东路智慧园区建设项目</t>
        </is>
      </c>
      <c r="D1116" s="4" t="inlineStr">
        <is>
          <t>马军</t>
        </is>
      </c>
      <c r="E1116" s="7" t="n">
        <v>3894</v>
      </c>
      <c r="F1116" s="7" t="n">
        <v>3621.42</v>
      </c>
      <c r="G1116" s="7">
        <f>E1116-F1116</f>
        <v/>
      </c>
      <c r="H1116" s="8">
        <f>IFERROR(F1116/E1116,0)</f>
        <v/>
      </c>
      <c r="I1116" s="4">
        <f>IF(H1116&gt;=1,"超预算",IF(H1116&gt;=0.9,"预警","正常"))</f>
        <v/>
      </c>
      <c r="J1116" s="4">
        <f>RANK(F1116,$F$4:$F$1203,0)</f>
        <v/>
      </c>
      <c r="K1116" s="4" t="inlineStr">
        <is>
          <t>完工</t>
        </is>
      </c>
    </row>
    <row r="1117">
      <c r="A1117" s="4" t="n">
        <v>1114</v>
      </c>
      <c r="B1117" s="5" t="inlineStr">
        <is>
          <t>PJ-2026-1114</t>
        </is>
      </c>
      <c r="C1117" s="6" t="inlineStr">
        <is>
          <t>解放路污水处理扩容工程（二期）</t>
        </is>
      </c>
      <c r="D1117" s="4" t="inlineStr">
        <is>
          <t>朱明</t>
        </is>
      </c>
      <c r="E1117" s="7" t="n">
        <v>4031</v>
      </c>
      <c r="F1117" s="7" t="n">
        <v>2096.12</v>
      </c>
      <c r="G1117" s="7">
        <f>E1117-F1117</f>
        <v/>
      </c>
      <c r="H1117" s="8">
        <f>IFERROR(F1117/E1117,0)</f>
        <v/>
      </c>
      <c r="I1117" s="4">
        <f>IF(H1117&gt;=1,"超预算",IF(H1117&gt;=0.9,"预警","正常"))</f>
        <v/>
      </c>
      <c r="J1117" s="4">
        <f>RANK(F1117,$F$4:$F$1203,0)</f>
        <v/>
      </c>
      <c r="K1117" s="4" t="inlineStr">
        <is>
          <t>在建</t>
        </is>
      </c>
    </row>
    <row r="1118">
      <c r="A1118" s="4" t="n">
        <v>1115</v>
      </c>
      <c r="B1118" s="5" t="inlineStr">
        <is>
          <t>PJ-2026-1115</t>
        </is>
      </c>
      <c r="C1118" s="6" t="inlineStr">
        <is>
          <t>和平街供水管网更新工程（三期）</t>
        </is>
      </c>
      <c r="D1118" s="4" t="inlineStr">
        <is>
          <t>胡桂</t>
        </is>
      </c>
      <c r="E1118" s="7" t="n">
        <v>4168</v>
      </c>
      <c r="F1118" s="7" t="n">
        <v>3376.08</v>
      </c>
      <c r="G1118" s="7">
        <f>E1118-F1118</f>
        <v/>
      </c>
      <c r="H1118" s="8">
        <f>IFERROR(F1118/E1118,0)</f>
        <v/>
      </c>
      <c r="I1118" s="4">
        <f>IF(H1118&gt;=1,"超预算",IF(H1118&gt;=0.9,"预警","正常"))</f>
        <v/>
      </c>
      <c r="J1118" s="4">
        <f>RANK(F1118,$F$4:$F$1203,0)</f>
        <v/>
      </c>
      <c r="K1118" s="4" t="inlineStr">
        <is>
          <t>待启动</t>
        </is>
      </c>
    </row>
    <row r="1119">
      <c r="A1119" s="4" t="n">
        <v>1116</v>
      </c>
      <c r="B1119" s="5" t="inlineStr">
        <is>
          <t>PJ-2026-1116</t>
        </is>
      </c>
      <c r="C1119" s="6" t="inlineStr">
        <is>
          <t>光明街河道综合整治工程（四期）</t>
        </is>
      </c>
      <c r="D1119" s="4" t="inlineStr">
        <is>
          <t>郭丽</t>
        </is>
      </c>
      <c r="E1119" s="7" t="n">
        <v>4305</v>
      </c>
      <c r="F1119" s="7" t="n">
        <v>4735.5</v>
      </c>
      <c r="G1119" s="7">
        <f>E1119-F1119</f>
        <v/>
      </c>
      <c r="H1119" s="8">
        <f>IFERROR(F1119/E1119,0)</f>
        <v/>
      </c>
      <c r="I1119" s="4">
        <f>IF(H1119&gt;=1,"超预算",IF(H1119&gt;=0.9,"预警","正常"))</f>
        <v/>
      </c>
      <c r="J1119" s="4">
        <f>RANK(F1119,$F$4:$F$1203,0)</f>
        <v/>
      </c>
      <c r="K1119" s="4" t="inlineStr">
        <is>
          <t>完工</t>
        </is>
      </c>
    </row>
    <row r="1120">
      <c r="A1120" s="4" t="n">
        <v>1117</v>
      </c>
      <c r="B1120" s="5" t="inlineStr">
        <is>
          <t>PJ-2026-1117</t>
        </is>
      </c>
      <c r="C1120" s="6" t="inlineStr">
        <is>
          <t>城东路学校新建工程</t>
        </is>
      </c>
      <c r="D1120" s="4" t="inlineStr">
        <is>
          <t>何杰</t>
        </is>
      </c>
      <c r="E1120" s="7" t="n">
        <v>4442</v>
      </c>
      <c r="F1120" s="7" t="n">
        <v>3064.98</v>
      </c>
      <c r="G1120" s="7">
        <f>E1120-F1120</f>
        <v/>
      </c>
      <c r="H1120" s="8">
        <f>IFERROR(F1120/E1120,0)</f>
        <v/>
      </c>
      <c r="I1120" s="4">
        <f>IF(H1120&gt;=1,"超预算",IF(H1120&gt;=0.9,"预警","正常"))</f>
        <v/>
      </c>
      <c r="J1120" s="4">
        <f>RANK(F1120,$F$4:$F$1203,0)</f>
        <v/>
      </c>
      <c r="K1120" s="4" t="inlineStr">
        <is>
          <t>在建</t>
        </is>
      </c>
    </row>
    <row r="1121">
      <c r="A1121" s="4" t="n">
        <v>1118</v>
      </c>
      <c r="B1121" s="5" t="inlineStr">
        <is>
          <t>PJ-2026-1118</t>
        </is>
      </c>
      <c r="C1121" s="6" t="inlineStr">
        <is>
          <t>解放路医院改扩建项目（二期）</t>
        </is>
      </c>
      <c r="D1121" s="4" t="inlineStr">
        <is>
          <t>高霞</t>
        </is>
      </c>
      <c r="E1121" s="7" t="n">
        <v>4579</v>
      </c>
      <c r="F1121" s="7" t="n">
        <v>4487.42</v>
      </c>
      <c r="G1121" s="7">
        <f>E1121-F1121</f>
        <v/>
      </c>
      <c r="H1121" s="8">
        <f>IFERROR(F1121/E1121,0)</f>
        <v/>
      </c>
      <c r="I1121" s="4">
        <f>IF(H1121&gt;=1,"超预算",IF(H1121&gt;=0.9,"预警","正常"))</f>
        <v/>
      </c>
      <c r="J1121" s="4">
        <f>RANK(F1121,$F$4:$F$1203,0)</f>
        <v/>
      </c>
      <c r="K1121" s="4" t="inlineStr">
        <is>
          <t>待启动</t>
        </is>
      </c>
    </row>
    <row r="1122">
      <c r="A1122" s="4" t="n">
        <v>1119</v>
      </c>
      <c r="B1122" s="5" t="inlineStr">
        <is>
          <t>PJ-2026-1119</t>
        </is>
      </c>
      <c r="C1122" s="6" t="inlineStr">
        <is>
          <t>和平街公交枢纽建设工程（三期）</t>
        </is>
      </c>
      <c r="D1122" s="4" t="inlineStr">
        <is>
          <t>林娜</t>
        </is>
      </c>
      <c r="E1122" s="7" t="n">
        <v>4716</v>
      </c>
      <c r="F1122" s="7" t="n">
        <v>2688.12</v>
      </c>
      <c r="G1122" s="7">
        <f>E1122-F1122</f>
        <v/>
      </c>
      <c r="H1122" s="8">
        <f>IFERROR(F1122/E1122,0)</f>
        <v/>
      </c>
      <c r="I1122" s="4">
        <f>IF(H1122&gt;=1,"超预算",IF(H1122&gt;=0.9,"预警","正常"))</f>
        <v/>
      </c>
      <c r="J1122" s="4">
        <f>RANK(F1122,$F$4:$F$1203,0)</f>
        <v/>
      </c>
      <c r="K1122" s="4" t="inlineStr">
        <is>
          <t>完工</t>
        </is>
      </c>
    </row>
    <row r="1123">
      <c r="A1123" s="4" t="n">
        <v>1120</v>
      </c>
      <c r="B1123" s="5" t="inlineStr">
        <is>
          <t>PJ-2026-1120</t>
        </is>
      </c>
      <c r="C1123" s="6" t="inlineStr">
        <is>
          <t>光明街公共停车场建设工程（四期）</t>
        </is>
      </c>
      <c r="D1123" s="4" t="inlineStr">
        <is>
          <t>罗洋</t>
        </is>
      </c>
      <c r="E1123" s="7" t="n">
        <v>4853</v>
      </c>
      <c r="F1123" s="7" t="n">
        <v>4173.58</v>
      </c>
      <c r="G1123" s="7">
        <f>E1123-F1123</f>
        <v/>
      </c>
      <c r="H1123" s="8">
        <f>IFERROR(F1123/E1123,0)</f>
        <v/>
      </c>
      <c r="I1123" s="4">
        <f>IF(H1123&gt;=1,"超预算",IF(H1123&gt;=0.9,"预警","正常"))</f>
        <v/>
      </c>
      <c r="J1123" s="4">
        <f>RANK(F1123,$F$4:$F$1203,0)</f>
        <v/>
      </c>
      <c r="K1123" s="4" t="inlineStr">
        <is>
          <t>在建</t>
        </is>
      </c>
    </row>
    <row r="1124">
      <c r="A1124" s="4" t="n">
        <v>1121</v>
      </c>
      <c r="B1124" s="5" t="inlineStr">
        <is>
          <t>PJ-2026-1121</t>
        </is>
      </c>
      <c r="C1124" s="6" t="inlineStr">
        <is>
          <t>城东路道路改造工程</t>
        </is>
      </c>
      <c r="D1124" s="4" t="inlineStr">
        <is>
          <t>张超</t>
        </is>
      </c>
      <c r="E1124" s="7" t="n">
        <v>4990</v>
      </c>
      <c r="F1124" s="7" t="n">
        <v>2245.5</v>
      </c>
      <c r="G1124" s="7">
        <f>E1124-F1124</f>
        <v/>
      </c>
      <c r="H1124" s="8">
        <f>IFERROR(F1124/E1124,0)</f>
        <v/>
      </c>
      <c r="I1124" s="4">
        <f>IF(H1124&gt;=1,"超预算",IF(H1124&gt;=0.9,"预警","正常"))</f>
        <v/>
      </c>
      <c r="J1124" s="4">
        <f>RANK(F1124,$F$4:$F$1203,0)</f>
        <v/>
      </c>
      <c r="K1124" s="4" t="inlineStr">
        <is>
          <t>待启动</t>
        </is>
      </c>
    </row>
    <row r="1125">
      <c r="A1125" s="4" t="n">
        <v>1122</v>
      </c>
      <c r="B1125" s="5" t="inlineStr">
        <is>
          <t>PJ-2026-1122</t>
        </is>
      </c>
      <c r="C1125" s="6" t="inlineStr">
        <is>
          <t>解放路老旧小区改造项目（二期）</t>
        </is>
      </c>
      <c r="D1125" s="4" t="inlineStr">
        <is>
          <t>王英</t>
        </is>
      </c>
      <c r="E1125" s="7" t="n">
        <v>177</v>
      </c>
      <c r="F1125" s="7" t="n">
        <v>130.98</v>
      </c>
      <c r="G1125" s="7">
        <f>E1125-F1125</f>
        <v/>
      </c>
      <c r="H1125" s="8">
        <f>IFERROR(F1125/E1125,0)</f>
        <v/>
      </c>
      <c r="I1125" s="4">
        <f>IF(H1125&gt;=1,"超预算",IF(H1125&gt;=0.9,"预警","正常"))</f>
        <v/>
      </c>
      <c r="J1125" s="4">
        <f>RANK(F1125,$F$4:$F$1203,0)</f>
        <v/>
      </c>
      <c r="K1125" s="4" t="inlineStr">
        <is>
          <t>完工</t>
        </is>
      </c>
    </row>
    <row r="1126">
      <c r="A1126" s="4" t="n">
        <v>1123</v>
      </c>
      <c r="B1126" s="5" t="inlineStr">
        <is>
          <t>PJ-2026-1123</t>
        </is>
      </c>
      <c r="C1126" s="6" t="inlineStr">
        <is>
          <t>和平街智慧园区建设项目（三期）</t>
        </is>
      </c>
      <c r="D1126" s="4" t="inlineStr">
        <is>
          <t>李强</t>
        </is>
      </c>
      <c r="E1126" s="7" t="n">
        <v>314</v>
      </c>
      <c r="F1126" s="7" t="n">
        <v>323.42</v>
      </c>
      <c r="G1126" s="7">
        <f>E1126-F1126</f>
        <v/>
      </c>
      <c r="H1126" s="8">
        <f>IFERROR(F1126/E1126,0)</f>
        <v/>
      </c>
      <c r="I1126" s="4">
        <f>IF(H1126&gt;=1,"超预算",IF(H1126&gt;=0.9,"预警","正常"))</f>
        <v/>
      </c>
      <c r="J1126" s="4">
        <f>RANK(F1126,$F$4:$F$1203,0)</f>
        <v/>
      </c>
      <c r="K1126" s="4" t="inlineStr">
        <is>
          <t>在建</t>
        </is>
      </c>
    </row>
    <row r="1127">
      <c r="A1127" s="4" t="n">
        <v>1124</v>
      </c>
      <c r="B1127" s="5" t="inlineStr">
        <is>
          <t>PJ-2026-1124</t>
        </is>
      </c>
      <c r="C1127" s="6" t="inlineStr">
        <is>
          <t>光明街污水处理扩容工程（四期）</t>
        </is>
      </c>
      <c r="D1127" s="4" t="inlineStr">
        <is>
          <t>赵娟</t>
        </is>
      </c>
      <c r="E1127" s="7" t="n">
        <v>451</v>
      </c>
      <c r="F1127" s="7" t="n">
        <v>279.62</v>
      </c>
      <c r="G1127" s="7">
        <f>E1127-F1127</f>
        <v/>
      </c>
      <c r="H1127" s="8">
        <f>IFERROR(F1127/E1127,0)</f>
        <v/>
      </c>
      <c r="I1127" s="4">
        <f>IF(H1127&gt;=1,"超预算",IF(H1127&gt;=0.9,"预警","正常"))</f>
        <v/>
      </c>
      <c r="J1127" s="4">
        <f>RANK(F1127,$F$4:$F$1203,0)</f>
        <v/>
      </c>
      <c r="K1127" s="4" t="inlineStr">
        <is>
          <t>待启动</t>
        </is>
      </c>
    </row>
    <row r="1128">
      <c r="A1128" s="4" t="n">
        <v>1125</v>
      </c>
      <c r="B1128" s="5" t="inlineStr">
        <is>
          <t>PJ-2026-1125</t>
        </is>
      </c>
      <c r="C1128" s="6" t="inlineStr">
        <is>
          <t>城东路供水管网更新工程</t>
        </is>
      </c>
      <c r="D1128" s="4" t="inlineStr">
        <is>
          <t>刘平</t>
        </is>
      </c>
      <c r="E1128" s="7" t="n">
        <v>588</v>
      </c>
      <c r="F1128" s="7" t="n">
        <v>535.08</v>
      </c>
      <c r="G1128" s="7">
        <f>E1128-F1128</f>
        <v/>
      </c>
      <c r="H1128" s="8">
        <f>IFERROR(F1128/E1128,0)</f>
        <v/>
      </c>
      <c r="I1128" s="4">
        <f>IF(H1128&gt;=1,"超预算",IF(H1128&gt;=0.9,"预警","正常"))</f>
        <v/>
      </c>
      <c r="J1128" s="4">
        <f>RANK(F1128,$F$4:$F$1203,0)</f>
        <v/>
      </c>
      <c r="K1128" s="4" t="inlineStr">
        <is>
          <t>完工</t>
        </is>
      </c>
    </row>
    <row r="1129">
      <c r="A1129" s="4" t="n">
        <v>1126</v>
      </c>
      <c r="B1129" s="5" t="inlineStr">
        <is>
          <t>PJ-2026-1126</t>
        </is>
      </c>
      <c r="C1129" s="6" t="inlineStr">
        <is>
          <t>解放路河道综合整治工程（二期）</t>
        </is>
      </c>
      <c r="D1129" s="4" t="inlineStr">
        <is>
          <t>陈敏</t>
        </is>
      </c>
      <c r="E1129" s="7" t="n">
        <v>725</v>
      </c>
      <c r="F1129" s="7" t="n">
        <v>362.5</v>
      </c>
      <c r="G1129" s="7">
        <f>E1129-F1129</f>
        <v/>
      </c>
      <c r="H1129" s="8">
        <f>IFERROR(F1129/E1129,0)</f>
        <v/>
      </c>
      <c r="I1129" s="4">
        <f>IF(H1129&gt;=1,"超预算",IF(H1129&gt;=0.9,"预警","正常"))</f>
        <v/>
      </c>
      <c r="J1129" s="4">
        <f>RANK(F1129,$F$4:$F$1203,0)</f>
        <v/>
      </c>
      <c r="K1129" s="4" t="inlineStr">
        <is>
          <t>在建</t>
        </is>
      </c>
    </row>
    <row r="1130">
      <c r="A1130" s="4" t="n">
        <v>1127</v>
      </c>
      <c r="B1130" s="5" t="inlineStr">
        <is>
          <t>PJ-2026-1127</t>
        </is>
      </c>
      <c r="C1130" s="6" t="inlineStr">
        <is>
          <t>和平街学校新建工程（三期）</t>
        </is>
      </c>
      <c r="D1130" s="4" t="inlineStr">
        <is>
          <t>杨勇</t>
        </is>
      </c>
      <c r="E1130" s="7" t="n">
        <v>862</v>
      </c>
      <c r="F1130" s="7" t="n">
        <v>680.98</v>
      </c>
      <c r="G1130" s="7">
        <f>E1130-F1130</f>
        <v/>
      </c>
      <c r="H1130" s="8">
        <f>IFERROR(F1130/E1130,0)</f>
        <v/>
      </c>
      <c r="I1130" s="4">
        <f>IF(H1130&gt;=1,"超预算",IF(H1130&gt;=0.9,"预警","正常"))</f>
        <v/>
      </c>
      <c r="J1130" s="4">
        <f>RANK(F1130,$F$4:$F$1203,0)</f>
        <v/>
      </c>
      <c r="K1130" s="4" t="inlineStr">
        <is>
          <t>待启动</t>
        </is>
      </c>
    </row>
    <row r="1131">
      <c r="A1131" s="4" t="n">
        <v>1128</v>
      </c>
      <c r="B1131" s="5" t="inlineStr">
        <is>
          <t>PJ-2026-1128</t>
        </is>
      </c>
      <c r="C1131" s="6" t="inlineStr">
        <is>
          <t>光明街医院改扩建项目（四期）</t>
        </is>
      </c>
      <c r="D1131" s="4" t="inlineStr">
        <is>
          <t>黄秀</t>
        </is>
      </c>
      <c r="E1131" s="7" t="n">
        <v>999</v>
      </c>
      <c r="F1131" s="7" t="n">
        <v>1078.92</v>
      </c>
      <c r="G1131" s="7">
        <f>E1131-F1131</f>
        <v/>
      </c>
      <c r="H1131" s="8">
        <f>IFERROR(F1131/E1131,0)</f>
        <v/>
      </c>
      <c r="I1131" s="4">
        <f>IF(H1131&gt;=1,"超预算",IF(H1131&gt;=0.9,"预警","正常"))</f>
        <v/>
      </c>
      <c r="J1131" s="4">
        <f>RANK(F1131,$F$4:$F$1203,0)</f>
        <v/>
      </c>
      <c r="K1131" s="4" t="inlineStr">
        <is>
          <t>完工</t>
        </is>
      </c>
    </row>
    <row r="1132">
      <c r="A1132" s="4" t="n">
        <v>1129</v>
      </c>
      <c r="B1132" s="5" t="inlineStr">
        <is>
          <t>PJ-2026-1129</t>
        </is>
      </c>
      <c r="C1132" s="6" t="inlineStr">
        <is>
          <t>城东路公交枢纽建设工程</t>
        </is>
      </c>
      <c r="D1132" s="4" t="inlineStr">
        <is>
          <t>周伟</t>
        </is>
      </c>
      <c r="E1132" s="7" t="n">
        <v>1136</v>
      </c>
      <c r="F1132" s="7" t="n">
        <v>761.12</v>
      </c>
      <c r="G1132" s="7">
        <f>E1132-F1132</f>
        <v/>
      </c>
      <c r="H1132" s="8">
        <f>IFERROR(F1132/E1132,0)</f>
        <v/>
      </c>
      <c r="I1132" s="4">
        <f>IF(H1132&gt;=1,"超预算",IF(H1132&gt;=0.9,"预警","正常"))</f>
        <v/>
      </c>
      <c r="J1132" s="4">
        <f>RANK(F1132,$F$4:$F$1203,0)</f>
        <v/>
      </c>
      <c r="K1132" s="4" t="inlineStr">
        <is>
          <t>在建</t>
        </is>
      </c>
    </row>
    <row r="1133">
      <c r="A1133" s="4" t="n">
        <v>1130</v>
      </c>
      <c r="B1133" s="5" t="inlineStr">
        <is>
          <t>PJ-2026-1130</t>
        </is>
      </c>
      <c r="C1133" s="6" t="inlineStr">
        <is>
          <t>解放路公共停车场建设工程（二期）</t>
        </is>
      </c>
      <c r="D1133" s="4" t="inlineStr">
        <is>
          <t>吴磊</t>
        </is>
      </c>
      <c r="E1133" s="7" t="n">
        <v>1273</v>
      </c>
      <c r="F1133" s="7" t="n">
        <v>1222.08</v>
      </c>
      <c r="G1133" s="7">
        <f>E1133-F1133</f>
        <v/>
      </c>
      <c r="H1133" s="8">
        <f>IFERROR(F1133/E1133,0)</f>
        <v/>
      </c>
      <c r="I1133" s="4">
        <f>IF(H1133&gt;=1,"超预算",IF(H1133&gt;=0.9,"预警","正常"))</f>
        <v/>
      </c>
      <c r="J1133" s="4">
        <f>RANK(F1133,$F$4:$F$1203,0)</f>
        <v/>
      </c>
      <c r="K1133" s="4" t="inlineStr">
        <is>
          <t>待启动</t>
        </is>
      </c>
    </row>
    <row r="1134">
      <c r="A1134" s="4" t="n">
        <v>1131</v>
      </c>
      <c r="B1134" s="5" t="inlineStr">
        <is>
          <t>PJ-2026-1131</t>
        </is>
      </c>
      <c r="C1134" s="6" t="inlineStr">
        <is>
          <t>和平街道路改造工程（三期）</t>
        </is>
      </c>
      <c r="D1134" s="4" t="inlineStr">
        <is>
          <t>徐涛</t>
        </is>
      </c>
      <c r="E1134" s="7" t="n">
        <v>1410</v>
      </c>
      <c r="F1134" s="7" t="n">
        <v>775.5</v>
      </c>
      <c r="G1134" s="7">
        <f>E1134-F1134</f>
        <v/>
      </c>
      <c r="H1134" s="8">
        <f>IFERROR(F1134/E1134,0)</f>
        <v/>
      </c>
      <c r="I1134" s="4">
        <f>IF(H1134&gt;=1,"超预算",IF(H1134&gt;=0.9,"预警","正常"))</f>
        <v/>
      </c>
      <c r="J1134" s="4">
        <f>RANK(F1134,$F$4:$F$1203,0)</f>
        <v/>
      </c>
      <c r="K1134" s="4" t="inlineStr">
        <is>
          <t>完工</t>
        </is>
      </c>
    </row>
    <row r="1135">
      <c r="A1135" s="4" t="n">
        <v>1132</v>
      </c>
      <c r="B1135" s="5" t="inlineStr">
        <is>
          <t>PJ-2026-1132</t>
        </is>
      </c>
      <c r="C1135" s="6" t="inlineStr">
        <is>
          <t>光明街老旧小区改造项目（四期）</t>
        </is>
      </c>
      <c r="D1135" s="4" t="inlineStr">
        <is>
          <t>孙刚</t>
        </is>
      </c>
      <c r="E1135" s="7" t="n">
        <v>1547</v>
      </c>
      <c r="F1135" s="7" t="n">
        <v>1299.48</v>
      </c>
      <c r="G1135" s="7">
        <f>E1135-F1135</f>
        <v/>
      </c>
      <c r="H1135" s="8">
        <f>IFERROR(F1135/E1135,0)</f>
        <v/>
      </c>
      <c r="I1135" s="4">
        <f>IF(H1135&gt;=1,"超预算",IF(H1135&gt;=0.9,"预警","正常"))</f>
        <v/>
      </c>
      <c r="J1135" s="4">
        <f>RANK(F1135,$F$4:$F$1203,0)</f>
        <v/>
      </c>
      <c r="K1135" s="4" t="inlineStr">
        <is>
          <t>在建</t>
        </is>
      </c>
    </row>
    <row r="1136">
      <c r="A1136" s="4" t="n">
        <v>1133</v>
      </c>
      <c r="B1136" s="5" t="inlineStr">
        <is>
          <t>PJ-2026-1133</t>
        </is>
      </c>
      <c r="C1136" s="6" t="inlineStr">
        <is>
          <t>城东路智慧园区建设项目</t>
        </is>
      </c>
      <c r="D1136" s="4" t="inlineStr">
        <is>
          <t>马静</t>
        </is>
      </c>
      <c r="E1136" s="7" t="n">
        <v>1684</v>
      </c>
      <c r="F1136" s="7" t="n">
        <v>1902.92</v>
      </c>
      <c r="G1136" s="7">
        <f>E1136-F1136</f>
        <v/>
      </c>
      <c r="H1136" s="8">
        <f>IFERROR(F1136/E1136,0)</f>
        <v/>
      </c>
      <c r="I1136" s="4">
        <f>IF(H1136&gt;=1,"超预算",IF(H1136&gt;=0.9,"预警","正常"))</f>
        <v/>
      </c>
      <c r="J1136" s="4">
        <f>RANK(F1136,$F$4:$F$1203,0)</f>
        <v/>
      </c>
      <c r="K1136" s="4" t="inlineStr">
        <is>
          <t>待启动</t>
        </is>
      </c>
    </row>
    <row r="1137">
      <c r="A1137" s="4" t="n">
        <v>1134</v>
      </c>
      <c r="B1137" s="5" t="inlineStr">
        <is>
          <t>PJ-2026-1134</t>
        </is>
      </c>
      <c r="C1137" s="6" t="inlineStr">
        <is>
          <t>解放路污水处理扩容工程（二期）</t>
        </is>
      </c>
      <c r="D1137" s="4" t="inlineStr">
        <is>
          <t>朱艳</t>
        </is>
      </c>
      <c r="E1137" s="7" t="n">
        <v>1821</v>
      </c>
      <c r="F1137" s="7" t="n">
        <v>1311.12</v>
      </c>
      <c r="G1137" s="7">
        <f>E1137-F1137</f>
        <v/>
      </c>
      <c r="H1137" s="8">
        <f>IFERROR(F1137/E1137,0)</f>
        <v/>
      </c>
      <c r="I1137" s="4">
        <f>IF(H1137&gt;=1,"超预算",IF(H1137&gt;=0.9,"预警","正常"))</f>
        <v/>
      </c>
      <c r="J1137" s="4">
        <f>RANK(F1137,$F$4:$F$1203,0)</f>
        <v/>
      </c>
      <c r="K1137" s="4" t="inlineStr">
        <is>
          <t>完工</t>
        </is>
      </c>
    </row>
    <row r="1138">
      <c r="A1138" s="4" t="n">
        <v>1135</v>
      </c>
      <c r="B1138" s="5" t="inlineStr">
        <is>
          <t>PJ-2026-1135</t>
        </is>
      </c>
      <c r="C1138" s="6" t="inlineStr">
        <is>
          <t>和平街供水管网更新工程（三期）</t>
        </is>
      </c>
      <c r="D1138" s="4" t="inlineStr">
        <is>
          <t>胡英</t>
        </is>
      </c>
      <c r="E1138" s="7" t="n">
        <v>1958</v>
      </c>
      <c r="F1138" s="7" t="n">
        <v>1977.58</v>
      </c>
      <c r="G1138" s="7">
        <f>E1138-F1138</f>
        <v/>
      </c>
      <c r="H1138" s="8">
        <f>IFERROR(F1138/E1138,0)</f>
        <v/>
      </c>
      <c r="I1138" s="4">
        <f>IF(H1138&gt;=1,"超预算",IF(H1138&gt;=0.9,"预警","正常"))</f>
        <v/>
      </c>
      <c r="J1138" s="4">
        <f>RANK(F1138,$F$4:$F$1203,0)</f>
        <v/>
      </c>
      <c r="K1138" s="4" t="inlineStr">
        <is>
          <t>在建</t>
        </is>
      </c>
    </row>
    <row r="1139">
      <c r="A1139" s="4" t="n">
        <v>1136</v>
      </c>
      <c r="B1139" s="5" t="inlineStr">
        <is>
          <t>PJ-2026-1136</t>
        </is>
      </c>
      <c r="C1139" s="6" t="inlineStr">
        <is>
          <t>光明街河道综合整治工程（四期）</t>
        </is>
      </c>
      <c r="D1139" s="4" t="inlineStr">
        <is>
          <t>郭芳</t>
        </is>
      </c>
      <c r="E1139" s="7" t="n">
        <v>2095</v>
      </c>
      <c r="F1139" s="7" t="n">
        <v>1257</v>
      </c>
      <c r="G1139" s="7">
        <f>E1139-F1139</f>
        <v/>
      </c>
      <c r="H1139" s="8">
        <f>IFERROR(F1139/E1139,0)</f>
        <v/>
      </c>
      <c r="I1139" s="4">
        <f>IF(H1139&gt;=1,"超预算",IF(H1139&gt;=0.9,"预警","正常"))</f>
        <v/>
      </c>
      <c r="J1139" s="4">
        <f>RANK(F1139,$F$4:$F$1203,0)</f>
        <v/>
      </c>
      <c r="K1139" s="4" t="inlineStr">
        <is>
          <t>待启动</t>
        </is>
      </c>
    </row>
    <row r="1140">
      <c r="A1140" s="4" t="n">
        <v>1137</v>
      </c>
      <c r="B1140" s="5" t="inlineStr">
        <is>
          <t>PJ-2026-1137</t>
        </is>
      </c>
      <c r="C1140" s="6" t="inlineStr">
        <is>
          <t>城东路学校新建工程</t>
        </is>
      </c>
      <c r="D1140" s="4" t="inlineStr">
        <is>
          <t>何军</t>
        </is>
      </c>
      <c r="E1140" s="7" t="n">
        <v>2232</v>
      </c>
      <c r="F1140" s="7" t="n">
        <v>1986.48</v>
      </c>
      <c r="G1140" s="7">
        <f>E1140-F1140</f>
        <v/>
      </c>
      <c r="H1140" s="8">
        <f>IFERROR(F1140/E1140,0)</f>
        <v/>
      </c>
      <c r="I1140" s="4">
        <f>IF(H1140&gt;=1,"超预算",IF(H1140&gt;=0.9,"预警","正常"))</f>
        <v/>
      </c>
      <c r="J1140" s="4">
        <f>RANK(F1140,$F$4:$F$1203,0)</f>
        <v/>
      </c>
      <c r="K1140" s="4" t="inlineStr">
        <is>
          <t>完工</t>
        </is>
      </c>
    </row>
    <row r="1141">
      <c r="A1141" s="4" t="n">
        <v>1138</v>
      </c>
      <c r="B1141" s="5" t="inlineStr">
        <is>
          <t>PJ-2026-1138</t>
        </is>
      </c>
      <c r="C1141" s="6" t="inlineStr">
        <is>
          <t>解放路医院改扩建项目（二期）</t>
        </is>
      </c>
      <c r="D1141" s="4" t="inlineStr">
        <is>
          <t>高明</t>
        </is>
      </c>
      <c r="E1141" s="7" t="n">
        <v>2369</v>
      </c>
      <c r="F1141" s="7" t="n">
        <v>1137.12</v>
      </c>
      <c r="G1141" s="7">
        <f>E1141-F1141</f>
        <v/>
      </c>
      <c r="H1141" s="8">
        <f>IFERROR(F1141/E1141,0)</f>
        <v/>
      </c>
      <c r="I1141" s="4">
        <f>IF(H1141&gt;=1,"超预算",IF(H1141&gt;=0.9,"预警","正常"))</f>
        <v/>
      </c>
      <c r="J1141" s="4">
        <f>RANK(F1141,$F$4:$F$1203,0)</f>
        <v/>
      </c>
      <c r="K1141" s="4" t="inlineStr">
        <is>
          <t>在建</t>
        </is>
      </c>
    </row>
    <row r="1142">
      <c r="A1142" s="4" t="n">
        <v>1139</v>
      </c>
      <c r="B1142" s="5" t="inlineStr">
        <is>
          <t>PJ-2026-1139</t>
        </is>
      </c>
      <c r="C1142" s="6" t="inlineStr">
        <is>
          <t>和平街公交枢纽建设工程（三期）</t>
        </is>
      </c>
      <c r="D1142" s="4" t="inlineStr">
        <is>
          <t>林桂</t>
        </is>
      </c>
      <c r="E1142" s="7" t="n">
        <v>2506</v>
      </c>
      <c r="F1142" s="7" t="n">
        <v>1929.62</v>
      </c>
      <c r="G1142" s="7">
        <f>E1142-F1142</f>
        <v/>
      </c>
      <c r="H1142" s="8">
        <f>IFERROR(F1142/E1142,0)</f>
        <v/>
      </c>
      <c r="I1142" s="4">
        <f>IF(H1142&gt;=1,"超预算",IF(H1142&gt;=0.9,"预警","正常"))</f>
        <v/>
      </c>
      <c r="J1142" s="4">
        <f>RANK(F1142,$F$4:$F$1203,0)</f>
        <v/>
      </c>
      <c r="K1142" s="4" t="inlineStr">
        <is>
          <t>待启动</t>
        </is>
      </c>
    </row>
    <row r="1143">
      <c r="A1143" s="4" t="n">
        <v>1140</v>
      </c>
      <c r="B1143" s="5" t="inlineStr">
        <is>
          <t>PJ-2026-1140</t>
        </is>
      </c>
      <c r="C1143" s="6" t="inlineStr">
        <is>
          <t>光明街公共停车场建设工程（四期）</t>
        </is>
      </c>
      <c r="D1143" s="4" t="inlineStr">
        <is>
          <t>罗丽</t>
        </is>
      </c>
      <c r="E1143" s="7" t="n">
        <v>2643</v>
      </c>
      <c r="F1143" s="7" t="n">
        <v>2801.58</v>
      </c>
      <c r="G1143" s="7">
        <f>E1143-F1143</f>
        <v/>
      </c>
      <c r="H1143" s="8">
        <f>IFERROR(F1143/E1143,0)</f>
        <v/>
      </c>
      <c r="I1143" s="4">
        <f>IF(H1143&gt;=1,"超预算",IF(H1143&gt;=0.9,"预警","正常"))</f>
        <v/>
      </c>
      <c r="J1143" s="4">
        <f>RANK(F1143,$F$4:$F$1203,0)</f>
        <v/>
      </c>
      <c r="K1143" s="4" t="inlineStr">
        <is>
          <t>完工</t>
        </is>
      </c>
    </row>
    <row r="1144">
      <c r="A1144" s="4" t="n">
        <v>1141</v>
      </c>
      <c r="B1144" s="5" t="inlineStr">
        <is>
          <t>PJ-2026-1141</t>
        </is>
      </c>
      <c r="C1144" s="6" t="inlineStr">
        <is>
          <t>城东路道路改造工程</t>
        </is>
      </c>
      <c r="D1144" s="4" t="inlineStr">
        <is>
          <t>张杰</t>
        </is>
      </c>
      <c r="E1144" s="7" t="n">
        <v>2780</v>
      </c>
      <c r="F1144" s="7" t="n">
        <v>1807</v>
      </c>
      <c r="G1144" s="7">
        <f>E1144-F1144</f>
        <v/>
      </c>
      <c r="H1144" s="8">
        <f>IFERROR(F1144/E1144,0)</f>
        <v/>
      </c>
      <c r="I1144" s="4">
        <f>IF(H1144&gt;=1,"超预算",IF(H1144&gt;=0.9,"预警","正常"))</f>
        <v/>
      </c>
      <c r="J1144" s="4">
        <f>RANK(F1144,$F$4:$F$1203,0)</f>
        <v/>
      </c>
      <c r="K1144" s="4" t="inlineStr">
        <is>
          <t>在建</t>
        </is>
      </c>
    </row>
    <row r="1145">
      <c r="A1145" s="4" t="n">
        <v>1142</v>
      </c>
      <c r="B1145" s="5" t="inlineStr">
        <is>
          <t>PJ-2026-1142</t>
        </is>
      </c>
      <c r="C1145" s="6" t="inlineStr">
        <is>
          <t>解放路老旧小区改造项目（二期）</t>
        </is>
      </c>
      <c r="D1145" s="4" t="inlineStr">
        <is>
          <t>王霞</t>
        </is>
      </c>
      <c r="E1145" s="7" t="n">
        <v>2917</v>
      </c>
      <c r="F1145" s="7" t="n">
        <v>2741.98</v>
      </c>
      <c r="G1145" s="7">
        <f>E1145-F1145</f>
        <v/>
      </c>
      <c r="H1145" s="8">
        <f>IFERROR(F1145/E1145,0)</f>
        <v/>
      </c>
      <c r="I1145" s="4">
        <f>IF(H1145&gt;=1,"超预算",IF(H1145&gt;=0.9,"预警","正常"))</f>
        <v/>
      </c>
      <c r="J1145" s="4">
        <f>RANK(F1145,$F$4:$F$1203,0)</f>
        <v/>
      </c>
      <c r="K1145" s="4" t="inlineStr">
        <is>
          <t>待启动</t>
        </is>
      </c>
    </row>
    <row r="1146">
      <c r="A1146" s="4" t="n">
        <v>1143</v>
      </c>
      <c r="B1146" s="5" t="inlineStr">
        <is>
          <t>PJ-2026-1143</t>
        </is>
      </c>
      <c r="C1146" s="6" t="inlineStr">
        <is>
          <t>和平街智慧园区建设项目（三期）</t>
        </is>
      </c>
      <c r="D1146" s="4" t="inlineStr">
        <is>
          <t>李娜</t>
        </is>
      </c>
      <c r="E1146" s="7" t="n">
        <v>3054</v>
      </c>
      <c r="F1146" s="7" t="n">
        <v>1618.62</v>
      </c>
      <c r="G1146" s="7">
        <f>E1146-F1146</f>
        <v/>
      </c>
      <c r="H1146" s="8">
        <f>IFERROR(F1146/E1146,0)</f>
        <v/>
      </c>
      <c r="I1146" s="4">
        <f>IF(H1146&gt;=1,"超预算",IF(H1146&gt;=0.9,"预警","正常"))</f>
        <v/>
      </c>
      <c r="J1146" s="4">
        <f>RANK(F1146,$F$4:$F$1203,0)</f>
        <v/>
      </c>
      <c r="K1146" s="4" t="inlineStr">
        <is>
          <t>完工</t>
        </is>
      </c>
    </row>
    <row r="1147">
      <c r="A1147" s="4" t="n">
        <v>1144</v>
      </c>
      <c r="B1147" s="5" t="inlineStr">
        <is>
          <t>PJ-2026-1144</t>
        </is>
      </c>
      <c r="C1147" s="6" t="inlineStr">
        <is>
          <t>光明街污水处理扩容工程（四期）</t>
        </is>
      </c>
      <c r="D1147" s="4" t="inlineStr">
        <is>
          <t>赵洋</t>
        </is>
      </c>
      <c r="E1147" s="7" t="n">
        <v>3191</v>
      </c>
      <c r="F1147" s="7" t="n">
        <v>2616.62</v>
      </c>
      <c r="G1147" s="7">
        <f>E1147-F1147</f>
        <v/>
      </c>
      <c r="H1147" s="8">
        <f>IFERROR(F1147/E1147,0)</f>
        <v/>
      </c>
      <c r="I1147" s="4">
        <f>IF(H1147&gt;=1,"超预算",IF(H1147&gt;=0.9,"预警","正常"))</f>
        <v/>
      </c>
      <c r="J1147" s="4">
        <f>RANK(F1147,$F$4:$F$1203,0)</f>
        <v/>
      </c>
      <c r="K1147" s="4" t="inlineStr">
        <is>
          <t>在建</t>
        </is>
      </c>
    </row>
    <row r="1148">
      <c r="A1148" s="4" t="n">
        <v>1145</v>
      </c>
      <c r="B1148" s="5" t="inlineStr">
        <is>
          <t>PJ-2026-1145</t>
        </is>
      </c>
      <c r="C1148" s="6" t="inlineStr">
        <is>
          <t>城东路供水管网更新工程</t>
        </is>
      </c>
      <c r="D1148" s="4" t="inlineStr">
        <is>
          <t>刘超</t>
        </is>
      </c>
      <c r="E1148" s="7" t="n">
        <v>3328</v>
      </c>
      <c r="F1148" s="7" t="n">
        <v>3694.08</v>
      </c>
      <c r="G1148" s="7">
        <f>E1148-F1148</f>
        <v/>
      </c>
      <c r="H1148" s="8">
        <f>IFERROR(F1148/E1148,0)</f>
        <v/>
      </c>
      <c r="I1148" s="4">
        <f>IF(H1148&gt;=1,"超预算",IF(H1148&gt;=0.9,"预警","正常"))</f>
        <v/>
      </c>
      <c r="J1148" s="4">
        <f>RANK(F1148,$F$4:$F$1203,0)</f>
        <v/>
      </c>
      <c r="K1148" s="4" t="inlineStr">
        <is>
          <t>待启动</t>
        </is>
      </c>
    </row>
    <row r="1149">
      <c r="A1149" s="4" t="n">
        <v>1146</v>
      </c>
      <c r="B1149" s="5" t="inlineStr">
        <is>
          <t>PJ-2026-1146</t>
        </is>
      </c>
      <c r="C1149" s="6" t="inlineStr">
        <is>
          <t>解放路河道综合整治工程（二期）</t>
        </is>
      </c>
      <c r="D1149" s="4" t="inlineStr">
        <is>
          <t>陈英</t>
        </is>
      </c>
      <c r="E1149" s="7" t="n">
        <v>3465</v>
      </c>
      <c r="F1149" s="7" t="n">
        <v>2425.5</v>
      </c>
      <c r="G1149" s="7">
        <f>E1149-F1149</f>
        <v/>
      </c>
      <c r="H1149" s="8">
        <f>IFERROR(F1149/E1149,0)</f>
        <v/>
      </c>
      <c r="I1149" s="4">
        <f>IF(H1149&gt;=1,"超预算",IF(H1149&gt;=0.9,"预警","正常"))</f>
        <v/>
      </c>
      <c r="J1149" s="4">
        <f>RANK(F1149,$F$4:$F$1203,0)</f>
        <v/>
      </c>
      <c r="K1149" s="4" t="inlineStr">
        <is>
          <t>完工</t>
        </is>
      </c>
    </row>
    <row r="1150">
      <c r="A1150" s="4" t="n">
        <v>1147</v>
      </c>
      <c r="B1150" s="5" t="inlineStr">
        <is>
          <t>PJ-2026-1147</t>
        </is>
      </c>
      <c r="C1150" s="6" t="inlineStr">
        <is>
          <t>和平街学校新建工程（三期）</t>
        </is>
      </c>
      <c r="D1150" s="4" t="inlineStr">
        <is>
          <t>杨强</t>
        </is>
      </c>
      <c r="E1150" s="7" t="n">
        <v>3602</v>
      </c>
      <c r="F1150" s="7" t="n">
        <v>3565.98</v>
      </c>
      <c r="G1150" s="7">
        <f>E1150-F1150</f>
        <v/>
      </c>
      <c r="H1150" s="8">
        <f>IFERROR(F1150/E1150,0)</f>
        <v/>
      </c>
      <c r="I1150" s="4">
        <f>IF(H1150&gt;=1,"超预算",IF(H1150&gt;=0.9,"预警","正常"))</f>
        <v/>
      </c>
      <c r="J1150" s="4">
        <f>RANK(F1150,$F$4:$F$1203,0)</f>
        <v/>
      </c>
      <c r="K1150" s="4" t="inlineStr">
        <is>
          <t>在建</t>
        </is>
      </c>
    </row>
    <row r="1151">
      <c r="A1151" s="4" t="n">
        <v>1148</v>
      </c>
      <c r="B1151" s="5" t="inlineStr">
        <is>
          <t>PJ-2026-1148</t>
        </is>
      </c>
      <c r="C1151" s="6" t="inlineStr">
        <is>
          <t>光明街医院改扩建项目（四期）</t>
        </is>
      </c>
      <c r="D1151" s="4" t="inlineStr">
        <is>
          <t>黄娟</t>
        </is>
      </c>
      <c r="E1151" s="7" t="n">
        <v>3739</v>
      </c>
      <c r="F1151" s="7" t="n">
        <v>2168.62</v>
      </c>
      <c r="G1151" s="7">
        <f>E1151-F1151</f>
        <v/>
      </c>
      <c r="H1151" s="8">
        <f>IFERROR(F1151/E1151,0)</f>
        <v/>
      </c>
      <c r="I1151" s="4">
        <f>IF(H1151&gt;=1,"超预算",IF(H1151&gt;=0.9,"预警","正常"))</f>
        <v/>
      </c>
      <c r="J1151" s="4">
        <f>RANK(F1151,$F$4:$F$1203,0)</f>
        <v/>
      </c>
      <c r="K1151" s="4" t="inlineStr">
        <is>
          <t>待启动</t>
        </is>
      </c>
    </row>
    <row r="1152">
      <c r="A1152" s="4" t="n">
        <v>1149</v>
      </c>
      <c r="B1152" s="5" t="inlineStr">
        <is>
          <t>PJ-2026-1149</t>
        </is>
      </c>
      <c r="C1152" s="6" t="inlineStr">
        <is>
          <t>城东路公交枢纽建设工程</t>
        </is>
      </c>
      <c r="D1152" s="4" t="inlineStr">
        <is>
          <t>周平</t>
        </is>
      </c>
      <c r="E1152" s="7" t="n">
        <v>3876</v>
      </c>
      <c r="F1152" s="7" t="n">
        <v>3372.12</v>
      </c>
      <c r="G1152" s="7">
        <f>E1152-F1152</f>
        <v/>
      </c>
      <c r="H1152" s="8">
        <f>IFERROR(F1152/E1152,0)</f>
        <v/>
      </c>
      <c r="I1152" s="4">
        <f>IF(H1152&gt;=1,"超预算",IF(H1152&gt;=0.9,"预警","正常"))</f>
        <v/>
      </c>
      <c r="J1152" s="4">
        <f>RANK(F1152,$F$4:$F$1203,0)</f>
        <v/>
      </c>
      <c r="K1152" s="4" t="inlineStr">
        <is>
          <t>完工</t>
        </is>
      </c>
    </row>
    <row r="1153">
      <c r="A1153" s="4" t="n">
        <v>1150</v>
      </c>
      <c r="B1153" s="5" t="inlineStr">
        <is>
          <t>PJ-2026-1150</t>
        </is>
      </c>
      <c r="C1153" s="6" t="inlineStr">
        <is>
          <t>解放路公共停车场建设工程（二期）</t>
        </is>
      </c>
      <c r="D1153" s="4" t="inlineStr">
        <is>
          <t>吴敏</t>
        </is>
      </c>
      <c r="E1153" s="7" t="n">
        <v>4013</v>
      </c>
      <c r="F1153" s="7" t="n">
        <v>1845.98</v>
      </c>
      <c r="G1153" s="7">
        <f>E1153-F1153</f>
        <v/>
      </c>
      <c r="H1153" s="8">
        <f>IFERROR(F1153/E1153,0)</f>
        <v/>
      </c>
      <c r="I1153" s="4">
        <f>IF(H1153&gt;=1,"超预算",IF(H1153&gt;=0.9,"预警","正常"))</f>
        <v/>
      </c>
      <c r="J1153" s="4">
        <f>RANK(F1153,$F$4:$F$1203,0)</f>
        <v/>
      </c>
      <c r="K1153" s="4" t="inlineStr">
        <is>
          <t>在建</t>
        </is>
      </c>
    </row>
    <row r="1154">
      <c r="A1154" s="4" t="n">
        <v>1151</v>
      </c>
      <c r="B1154" s="5" t="inlineStr">
        <is>
          <t>PJ-2026-1151</t>
        </is>
      </c>
      <c r="C1154" s="6" t="inlineStr">
        <is>
          <t>和平街道路改造工程（三期）</t>
        </is>
      </c>
      <c r="D1154" s="4" t="inlineStr">
        <is>
          <t>徐勇</t>
        </is>
      </c>
      <c r="E1154" s="7" t="n">
        <v>4150</v>
      </c>
      <c r="F1154" s="7" t="n">
        <v>3112.5</v>
      </c>
      <c r="G1154" s="7">
        <f>E1154-F1154</f>
        <v/>
      </c>
      <c r="H1154" s="8">
        <f>IFERROR(F1154/E1154,0)</f>
        <v/>
      </c>
      <c r="I1154" s="4">
        <f>IF(H1154&gt;=1,"超预算",IF(H1154&gt;=0.9,"预警","正常"))</f>
        <v/>
      </c>
      <c r="J1154" s="4">
        <f>RANK(F1154,$F$4:$F$1203,0)</f>
        <v/>
      </c>
      <c r="K1154" s="4" t="inlineStr">
        <is>
          <t>待启动</t>
        </is>
      </c>
    </row>
    <row r="1155">
      <c r="A1155" s="4" t="n">
        <v>1152</v>
      </c>
      <c r="B1155" s="5" t="inlineStr">
        <is>
          <t>PJ-2026-1152</t>
        </is>
      </c>
      <c r="C1155" s="6" t="inlineStr">
        <is>
          <t>光明街老旧小区改造项目（四期）</t>
        </is>
      </c>
      <c r="D1155" s="4" t="inlineStr">
        <is>
          <t>孙秀</t>
        </is>
      </c>
      <c r="E1155" s="7" t="n">
        <v>4287</v>
      </c>
      <c r="F1155" s="7" t="n">
        <v>4458.48</v>
      </c>
      <c r="G1155" s="7">
        <f>E1155-F1155</f>
        <v/>
      </c>
      <c r="H1155" s="8">
        <f>IFERROR(F1155/E1155,0)</f>
        <v/>
      </c>
      <c r="I1155" s="4">
        <f>IF(H1155&gt;=1,"超预算",IF(H1155&gt;=0.9,"预警","正常"))</f>
        <v/>
      </c>
      <c r="J1155" s="4">
        <f>RANK(F1155,$F$4:$F$1203,0)</f>
        <v/>
      </c>
      <c r="K1155" s="4" t="inlineStr">
        <is>
          <t>完工</t>
        </is>
      </c>
    </row>
    <row r="1156">
      <c r="A1156" s="4" t="n">
        <v>1153</v>
      </c>
      <c r="B1156" s="5" t="inlineStr">
        <is>
          <t>PJ-2026-1153</t>
        </is>
      </c>
      <c r="C1156" s="6" t="inlineStr">
        <is>
          <t>城东路智慧园区建设项目</t>
        </is>
      </c>
      <c r="D1156" s="4" t="inlineStr">
        <is>
          <t>马伟</t>
        </is>
      </c>
      <c r="E1156" s="7" t="n">
        <v>4424</v>
      </c>
      <c r="F1156" s="7" t="n">
        <v>2787.12</v>
      </c>
      <c r="G1156" s="7">
        <f>E1156-F1156</f>
        <v/>
      </c>
      <c r="H1156" s="8">
        <f>IFERROR(F1156/E1156,0)</f>
        <v/>
      </c>
      <c r="I1156" s="4">
        <f>IF(H1156&gt;=1,"超预算",IF(H1156&gt;=0.9,"预警","正常"))</f>
        <v/>
      </c>
      <c r="J1156" s="4">
        <f>RANK(F1156,$F$4:$F$1203,0)</f>
        <v/>
      </c>
      <c r="K1156" s="4" t="inlineStr">
        <is>
          <t>在建</t>
        </is>
      </c>
    </row>
    <row r="1157">
      <c r="A1157" s="4" t="n">
        <v>1154</v>
      </c>
      <c r="B1157" s="5" t="inlineStr">
        <is>
          <t>PJ-2026-1154</t>
        </is>
      </c>
      <c r="C1157" s="6" t="inlineStr">
        <is>
          <t>解放路污水处理扩容工程（二期）</t>
        </is>
      </c>
      <c r="D1157" s="4" t="inlineStr">
        <is>
          <t>朱磊</t>
        </is>
      </c>
      <c r="E1157" s="7" t="n">
        <v>4561</v>
      </c>
      <c r="F1157" s="7" t="n">
        <v>4196.12</v>
      </c>
      <c r="G1157" s="7">
        <f>E1157-F1157</f>
        <v/>
      </c>
      <c r="H1157" s="8">
        <f>IFERROR(F1157/E1157,0)</f>
        <v/>
      </c>
      <c r="I1157" s="4">
        <f>IF(H1157&gt;=1,"超预算",IF(H1157&gt;=0.9,"预警","正常"))</f>
        <v/>
      </c>
      <c r="J1157" s="4">
        <f>RANK(F1157,$F$4:$F$1203,0)</f>
        <v/>
      </c>
      <c r="K1157" s="4" t="inlineStr">
        <is>
          <t>待启动</t>
        </is>
      </c>
    </row>
    <row r="1158">
      <c r="A1158" s="4" t="n">
        <v>1155</v>
      </c>
      <c r="B1158" s="5" t="inlineStr">
        <is>
          <t>PJ-2026-1155</t>
        </is>
      </c>
      <c r="C1158" s="6" t="inlineStr">
        <is>
          <t>和平街供水管网更新工程（三期）</t>
        </is>
      </c>
      <c r="D1158" s="4" t="inlineStr">
        <is>
          <t>胡涛</t>
        </is>
      </c>
      <c r="E1158" s="7" t="n">
        <v>4698</v>
      </c>
      <c r="F1158" s="7" t="n">
        <v>2395.98</v>
      </c>
      <c r="G1158" s="7">
        <f>E1158-F1158</f>
        <v/>
      </c>
      <c r="H1158" s="8">
        <f>IFERROR(F1158/E1158,0)</f>
        <v/>
      </c>
      <c r="I1158" s="4">
        <f>IF(H1158&gt;=1,"超预算",IF(H1158&gt;=0.9,"预警","正常"))</f>
        <v/>
      </c>
      <c r="J1158" s="4">
        <f>RANK(F1158,$F$4:$F$1203,0)</f>
        <v/>
      </c>
      <c r="K1158" s="4" t="inlineStr">
        <is>
          <t>完工</t>
        </is>
      </c>
    </row>
    <row r="1159">
      <c r="A1159" s="4" t="n">
        <v>1156</v>
      </c>
      <c r="B1159" s="5" t="inlineStr">
        <is>
          <t>PJ-2026-1156</t>
        </is>
      </c>
      <c r="C1159" s="6" t="inlineStr">
        <is>
          <t>光明街河道综合整治工程（四期）</t>
        </is>
      </c>
      <c r="D1159" s="4" t="inlineStr">
        <is>
          <t>郭刚</t>
        </is>
      </c>
      <c r="E1159" s="7" t="n">
        <v>4835</v>
      </c>
      <c r="F1159" s="7" t="n">
        <v>3868</v>
      </c>
      <c r="G1159" s="7">
        <f>E1159-F1159</f>
        <v/>
      </c>
      <c r="H1159" s="8">
        <f>IFERROR(F1159/E1159,0)</f>
        <v/>
      </c>
      <c r="I1159" s="4">
        <f>IF(H1159&gt;=1,"超预算",IF(H1159&gt;=0.9,"预警","正常"))</f>
        <v/>
      </c>
      <c r="J1159" s="4">
        <f>RANK(F1159,$F$4:$F$1203,0)</f>
        <v/>
      </c>
      <c r="K1159" s="4" t="inlineStr">
        <is>
          <t>在建</t>
        </is>
      </c>
    </row>
    <row r="1160">
      <c r="A1160" s="4" t="n">
        <v>1157</v>
      </c>
      <c r="B1160" s="5" t="inlineStr">
        <is>
          <t>PJ-2026-1157</t>
        </is>
      </c>
      <c r="C1160" s="6" t="inlineStr">
        <is>
          <t>城东路学校新建工程</t>
        </is>
      </c>
      <c r="D1160" s="4" t="inlineStr">
        <is>
          <t>何静</t>
        </is>
      </c>
      <c r="E1160" s="7" t="n">
        <v>4972</v>
      </c>
      <c r="F1160" s="7" t="n">
        <v>5419.48</v>
      </c>
      <c r="G1160" s="7">
        <f>E1160-F1160</f>
        <v/>
      </c>
      <c r="H1160" s="8">
        <f>IFERROR(F1160/E1160,0)</f>
        <v/>
      </c>
      <c r="I1160" s="4">
        <f>IF(H1160&gt;=1,"超预算",IF(H1160&gt;=0.9,"预警","正常"))</f>
        <v/>
      </c>
      <c r="J1160" s="4">
        <f>RANK(F1160,$F$4:$F$1203,0)</f>
        <v/>
      </c>
      <c r="K1160" s="4" t="inlineStr">
        <is>
          <t>待启动</t>
        </is>
      </c>
    </row>
    <row r="1161">
      <c r="A1161" s="4" t="n">
        <v>1158</v>
      </c>
      <c r="B1161" s="5" t="inlineStr">
        <is>
          <t>PJ-2026-1158</t>
        </is>
      </c>
      <c r="C1161" s="6" t="inlineStr">
        <is>
          <t>解放路医院改扩建项目（二期）</t>
        </is>
      </c>
      <c r="D1161" s="4" t="inlineStr">
        <is>
          <t>高艳</t>
        </is>
      </c>
      <c r="E1161" s="7" t="n">
        <v>159</v>
      </c>
      <c r="F1161" s="7" t="n">
        <v>108.12</v>
      </c>
      <c r="G1161" s="7">
        <f>E1161-F1161</f>
        <v/>
      </c>
      <c r="H1161" s="8">
        <f>IFERROR(F1161/E1161,0)</f>
        <v/>
      </c>
      <c r="I1161" s="4">
        <f>IF(H1161&gt;=1,"超预算",IF(H1161&gt;=0.9,"预警","正常"))</f>
        <v/>
      </c>
      <c r="J1161" s="4">
        <f>RANK(F1161,$F$4:$F$1203,0)</f>
        <v/>
      </c>
      <c r="K1161" s="4" t="inlineStr">
        <is>
          <t>完工</t>
        </is>
      </c>
    </row>
    <row r="1162">
      <c r="A1162" s="4" t="n">
        <v>1159</v>
      </c>
      <c r="B1162" s="5" t="inlineStr">
        <is>
          <t>PJ-2026-1159</t>
        </is>
      </c>
      <c r="C1162" s="6" t="inlineStr">
        <is>
          <t>和平街公交枢纽建设工程（三期）</t>
        </is>
      </c>
      <c r="D1162" s="4" t="inlineStr">
        <is>
          <t>林英</t>
        </is>
      </c>
      <c r="E1162" s="7" t="n">
        <v>296</v>
      </c>
      <c r="F1162" s="7" t="n">
        <v>287.12</v>
      </c>
      <c r="G1162" s="7">
        <f>E1162-F1162</f>
        <v/>
      </c>
      <c r="H1162" s="8">
        <f>IFERROR(F1162/E1162,0)</f>
        <v/>
      </c>
      <c r="I1162" s="4">
        <f>IF(H1162&gt;=1,"超预算",IF(H1162&gt;=0.9,"预警","正常"))</f>
        <v/>
      </c>
      <c r="J1162" s="4">
        <f>RANK(F1162,$F$4:$F$1203,0)</f>
        <v/>
      </c>
      <c r="K1162" s="4" t="inlineStr">
        <is>
          <t>在建</t>
        </is>
      </c>
    </row>
    <row r="1163">
      <c r="A1163" s="4" t="n">
        <v>1160</v>
      </c>
      <c r="B1163" s="5" t="inlineStr">
        <is>
          <t>PJ-2026-1160</t>
        </is>
      </c>
      <c r="C1163" s="6" t="inlineStr">
        <is>
          <t>光明街公共停车场建设工程（四期）</t>
        </is>
      </c>
      <c r="D1163" s="4" t="inlineStr">
        <is>
          <t>罗芳</t>
        </is>
      </c>
      <c r="E1163" s="7" t="n">
        <v>433</v>
      </c>
      <c r="F1163" s="7" t="n">
        <v>242.48</v>
      </c>
      <c r="G1163" s="7">
        <f>E1163-F1163</f>
        <v/>
      </c>
      <c r="H1163" s="8">
        <f>IFERROR(F1163/E1163,0)</f>
        <v/>
      </c>
      <c r="I1163" s="4">
        <f>IF(H1163&gt;=1,"超预算",IF(H1163&gt;=0.9,"预警","正常"))</f>
        <v/>
      </c>
      <c r="J1163" s="4">
        <f>RANK(F1163,$F$4:$F$1203,0)</f>
        <v/>
      </c>
      <c r="K1163" s="4" t="inlineStr">
        <is>
          <t>待启动</t>
        </is>
      </c>
    </row>
    <row r="1164">
      <c r="A1164" s="4" t="n">
        <v>1161</v>
      </c>
      <c r="B1164" s="5" t="inlineStr">
        <is>
          <t>PJ-2026-1161</t>
        </is>
      </c>
      <c r="C1164" s="6" t="inlineStr">
        <is>
          <t>城东路道路改造工程</t>
        </is>
      </c>
      <c r="D1164" s="4" t="inlineStr">
        <is>
          <t>张军</t>
        </is>
      </c>
      <c r="E1164" s="7" t="n">
        <v>570</v>
      </c>
      <c r="F1164" s="7" t="n">
        <v>484.5</v>
      </c>
      <c r="G1164" s="7">
        <f>E1164-F1164</f>
        <v/>
      </c>
      <c r="H1164" s="8">
        <f>IFERROR(F1164/E1164,0)</f>
        <v/>
      </c>
      <c r="I1164" s="4">
        <f>IF(H1164&gt;=1,"超预算",IF(H1164&gt;=0.9,"预警","正常"))</f>
        <v/>
      </c>
      <c r="J1164" s="4">
        <f>RANK(F1164,$F$4:$F$1203,0)</f>
        <v/>
      </c>
      <c r="K1164" s="4" t="inlineStr">
        <is>
          <t>完工</t>
        </is>
      </c>
    </row>
    <row r="1165">
      <c r="A1165" s="4" t="n">
        <v>1162</v>
      </c>
      <c r="B1165" s="5" t="inlineStr">
        <is>
          <t>PJ-2026-1162</t>
        </is>
      </c>
      <c r="C1165" s="6" t="inlineStr">
        <is>
          <t>解放路老旧小区改造项目（二期）</t>
        </is>
      </c>
      <c r="D1165" s="4" t="inlineStr">
        <is>
          <t>王明</t>
        </is>
      </c>
      <c r="E1165" s="7" t="n">
        <v>707</v>
      </c>
      <c r="F1165" s="7" t="n">
        <v>805.98</v>
      </c>
      <c r="G1165" s="7">
        <f>E1165-F1165</f>
        <v/>
      </c>
      <c r="H1165" s="8">
        <f>IFERROR(F1165/E1165,0)</f>
        <v/>
      </c>
      <c r="I1165" s="4">
        <f>IF(H1165&gt;=1,"超预算",IF(H1165&gt;=0.9,"预警","正常"))</f>
        <v/>
      </c>
      <c r="J1165" s="4">
        <f>RANK(F1165,$F$4:$F$1203,0)</f>
        <v/>
      </c>
      <c r="K1165" s="4" t="inlineStr">
        <is>
          <t>在建</t>
        </is>
      </c>
    </row>
    <row r="1166">
      <c r="A1166" s="4" t="n">
        <v>1163</v>
      </c>
      <c r="B1166" s="5" t="inlineStr">
        <is>
          <t>PJ-2026-1163</t>
        </is>
      </c>
      <c r="C1166" s="6" t="inlineStr">
        <is>
          <t>和平街智慧园区建设项目（三期）</t>
        </is>
      </c>
      <c r="D1166" s="4" t="inlineStr">
        <is>
          <t>李桂</t>
        </is>
      </c>
      <c r="E1166" s="7" t="n">
        <v>844</v>
      </c>
      <c r="F1166" s="7" t="n">
        <v>616.12</v>
      </c>
      <c r="G1166" s="7">
        <f>E1166-F1166</f>
        <v/>
      </c>
      <c r="H1166" s="8">
        <f>IFERROR(F1166/E1166,0)</f>
        <v/>
      </c>
      <c r="I1166" s="4">
        <f>IF(H1166&gt;=1,"超预算",IF(H1166&gt;=0.9,"预警","正常"))</f>
        <v/>
      </c>
      <c r="J1166" s="4">
        <f>RANK(F1166,$F$4:$F$1203,0)</f>
        <v/>
      </c>
      <c r="K1166" s="4" t="inlineStr">
        <is>
          <t>待启动</t>
        </is>
      </c>
    </row>
    <row r="1167">
      <c r="A1167" s="4" t="n">
        <v>1164</v>
      </c>
      <c r="B1167" s="5" t="inlineStr">
        <is>
          <t>PJ-2026-1164</t>
        </is>
      </c>
      <c r="C1167" s="6" t="inlineStr">
        <is>
          <t>光明街污水处理扩容工程（四期）</t>
        </is>
      </c>
      <c r="D1167" s="4" t="inlineStr">
        <is>
          <t>赵丽</t>
        </is>
      </c>
      <c r="E1167" s="7" t="n">
        <v>981</v>
      </c>
      <c r="F1167" s="7" t="n">
        <v>1000.62</v>
      </c>
      <c r="G1167" s="7">
        <f>E1167-F1167</f>
        <v/>
      </c>
      <c r="H1167" s="8">
        <f>IFERROR(F1167/E1167,0)</f>
        <v/>
      </c>
      <c r="I1167" s="4">
        <f>IF(H1167&gt;=1,"超预算",IF(H1167&gt;=0.9,"预警","正常"))</f>
        <v/>
      </c>
      <c r="J1167" s="4">
        <f>RANK(F1167,$F$4:$F$1203,0)</f>
        <v/>
      </c>
      <c r="K1167" s="4" t="inlineStr">
        <is>
          <t>完工</t>
        </is>
      </c>
    </row>
    <row r="1168">
      <c r="A1168" s="4" t="n">
        <v>1165</v>
      </c>
      <c r="B1168" s="5" t="inlineStr">
        <is>
          <t>PJ-2026-1165</t>
        </is>
      </c>
      <c r="C1168" s="6" t="inlineStr">
        <is>
          <t>城东路供水管网更新工程</t>
        </is>
      </c>
      <c r="D1168" s="4" t="inlineStr">
        <is>
          <t>刘杰</t>
        </is>
      </c>
      <c r="E1168" s="7" t="n">
        <v>1118</v>
      </c>
      <c r="F1168" s="7" t="n">
        <v>681.98</v>
      </c>
      <c r="G1168" s="7">
        <f>E1168-F1168</f>
        <v/>
      </c>
      <c r="H1168" s="8">
        <f>IFERROR(F1168/E1168,0)</f>
        <v/>
      </c>
      <c r="I1168" s="4">
        <f>IF(H1168&gt;=1,"超预算",IF(H1168&gt;=0.9,"预警","正常"))</f>
        <v/>
      </c>
      <c r="J1168" s="4">
        <f>RANK(F1168,$F$4:$F$1203,0)</f>
        <v/>
      </c>
      <c r="K1168" s="4" t="inlineStr">
        <is>
          <t>在建</t>
        </is>
      </c>
    </row>
    <row r="1169">
      <c r="A1169" s="4" t="n">
        <v>1166</v>
      </c>
      <c r="B1169" s="5" t="inlineStr">
        <is>
          <t>PJ-2026-1166</t>
        </is>
      </c>
      <c r="C1169" s="6" t="inlineStr">
        <is>
          <t>解放路河道综合整治工程（二期）</t>
        </is>
      </c>
      <c r="D1169" s="4" t="inlineStr">
        <is>
          <t>陈霞</t>
        </is>
      </c>
      <c r="E1169" s="7" t="n">
        <v>1255</v>
      </c>
      <c r="F1169" s="7" t="n">
        <v>1129.5</v>
      </c>
      <c r="G1169" s="7">
        <f>E1169-F1169</f>
        <v/>
      </c>
      <c r="H1169" s="8">
        <f>IFERROR(F1169/E1169,0)</f>
        <v/>
      </c>
      <c r="I1169" s="4">
        <f>IF(H1169&gt;=1,"超预算",IF(H1169&gt;=0.9,"预警","正常"))</f>
        <v/>
      </c>
      <c r="J1169" s="4">
        <f>RANK(F1169,$F$4:$F$1203,0)</f>
        <v/>
      </c>
      <c r="K1169" s="4" t="inlineStr">
        <is>
          <t>待启动</t>
        </is>
      </c>
    </row>
    <row r="1170">
      <c r="A1170" s="4" t="n">
        <v>1167</v>
      </c>
      <c r="B1170" s="5" t="inlineStr">
        <is>
          <t>PJ-2026-1167</t>
        </is>
      </c>
      <c r="C1170" s="6" t="inlineStr">
        <is>
          <t>和平街学校新建工程（三期）</t>
        </is>
      </c>
      <c r="D1170" s="4" t="inlineStr">
        <is>
          <t>杨娜</t>
        </is>
      </c>
      <c r="E1170" s="7" t="n">
        <v>1392</v>
      </c>
      <c r="F1170" s="7" t="n">
        <v>682.08</v>
      </c>
      <c r="G1170" s="7">
        <f>E1170-F1170</f>
        <v/>
      </c>
      <c r="H1170" s="8">
        <f>IFERROR(F1170/E1170,0)</f>
        <v/>
      </c>
      <c r="I1170" s="4">
        <f>IF(H1170&gt;=1,"超预算",IF(H1170&gt;=0.9,"预警","正常"))</f>
        <v/>
      </c>
      <c r="J1170" s="4">
        <f>RANK(F1170,$F$4:$F$1203,0)</f>
        <v/>
      </c>
      <c r="K1170" s="4" t="inlineStr">
        <is>
          <t>完工</t>
        </is>
      </c>
    </row>
    <row r="1171">
      <c r="A1171" s="4" t="n">
        <v>1168</v>
      </c>
      <c r="B1171" s="5" t="inlineStr">
        <is>
          <t>PJ-2026-1168</t>
        </is>
      </c>
      <c r="C1171" s="6" t="inlineStr">
        <is>
          <t>光明街医院改扩建项目（四期）</t>
        </is>
      </c>
      <c r="D1171" s="4" t="inlineStr">
        <is>
          <t>黄洋</t>
        </is>
      </c>
      <c r="E1171" s="7" t="n">
        <v>1529</v>
      </c>
      <c r="F1171" s="7" t="n">
        <v>1192.62</v>
      </c>
      <c r="G1171" s="7">
        <f>E1171-F1171</f>
        <v/>
      </c>
      <c r="H1171" s="8">
        <f>IFERROR(F1171/E1171,0)</f>
        <v/>
      </c>
      <c r="I1171" s="4">
        <f>IF(H1171&gt;=1,"超预算",IF(H1171&gt;=0.9,"预警","正常"))</f>
        <v/>
      </c>
      <c r="J1171" s="4">
        <f>RANK(F1171,$F$4:$F$1203,0)</f>
        <v/>
      </c>
      <c r="K1171" s="4" t="inlineStr">
        <is>
          <t>在建</t>
        </is>
      </c>
    </row>
    <row r="1172">
      <c r="A1172" s="4" t="n">
        <v>1169</v>
      </c>
      <c r="B1172" s="5" t="inlineStr">
        <is>
          <t>PJ-2026-1169</t>
        </is>
      </c>
      <c r="C1172" s="6" t="inlineStr">
        <is>
          <t>城东路公交枢纽建设工程</t>
        </is>
      </c>
      <c r="D1172" s="4" t="inlineStr">
        <is>
          <t>周超</t>
        </is>
      </c>
      <c r="E1172" s="7" t="n">
        <v>1666</v>
      </c>
      <c r="F1172" s="7" t="n">
        <v>1782.62</v>
      </c>
      <c r="G1172" s="7">
        <f>E1172-F1172</f>
        <v/>
      </c>
      <c r="H1172" s="8">
        <f>IFERROR(F1172/E1172,0)</f>
        <v/>
      </c>
      <c r="I1172" s="4">
        <f>IF(H1172&gt;=1,"超预算",IF(H1172&gt;=0.9,"预警","正常"))</f>
        <v/>
      </c>
      <c r="J1172" s="4">
        <f>RANK(F1172,$F$4:$F$1203,0)</f>
        <v/>
      </c>
      <c r="K1172" s="4" t="inlineStr">
        <is>
          <t>待启动</t>
        </is>
      </c>
    </row>
    <row r="1173">
      <c r="A1173" s="4" t="n">
        <v>1170</v>
      </c>
      <c r="B1173" s="5" t="inlineStr">
        <is>
          <t>PJ-2026-1170</t>
        </is>
      </c>
      <c r="C1173" s="6" t="inlineStr">
        <is>
          <t>解放路公共停车场建设工程（二期）</t>
        </is>
      </c>
      <c r="D1173" s="4" t="inlineStr">
        <is>
          <t>吴英</t>
        </is>
      </c>
      <c r="E1173" s="7" t="n">
        <v>1803</v>
      </c>
      <c r="F1173" s="7" t="n">
        <v>1189.98</v>
      </c>
      <c r="G1173" s="7">
        <f>E1173-F1173</f>
        <v/>
      </c>
      <c r="H1173" s="8">
        <f>IFERROR(F1173/E1173,0)</f>
        <v/>
      </c>
      <c r="I1173" s="4">
        <f>IF(H1173&gt;=1,"超预算",IF(H1173&gt;=0.9,"预警","正常"))</f>
        <v/>
      </c>
      <c r="J1173" s="4">
        <f>RANK(F1173,$F$4:$F$1203,0)</f>
        <v/>
      </c>
      <c r="K1173" s="4" t="inlineStr">
        <is>
          <t>完工</t>
        </is>
      </c>
    </row>
    <row r="1174">
      <c r="A1174" s="4" t="n">
        <v>1171</v>
      </c>
      <c r="B1174" s="5" t="inlineStr">
        <is>
          <t>PJ-2026-1171</t>
        </is>
      </c>
      <c r="C1174" s="6" t="inlineStr">
        <is>
          <t>和平街道路改造工程（三期）</t>
        </is>
      </c>
      <c r="D1174" s="4" t="inlineStr">
        <is>
          <t>徐强</t>
        </is>
      </c>
      <c r="E1174" s="7" t="n">
        <v>1940</v>
      </c>
      <c r="F1174" s="7" t="n">
        <v>1843</v>
      </c>
      <c r="G1174" s="7">
        <f>E1174-F1174</f>
        <v/>
      </c>
      <c r="H1174" s="8">
        <f>IFERROR(F1174/E1174,0)</f>
        <v/>
      </c>
      <c r="I1174" s="4">
        <f>IF(H1174&gt;=1,"超预算",IF(H1174&gt;=0.9,"预警","正常"))</f>
        <v/>
      </c>
      <c r="J1174" s="4">
        <f>RANK(F1174,$F$4:$F$1203,0)</f>
        <v/>
      </c>
      <c r="K1174" s="4" t="inlineStr">
        <is>
          <t>在建</t>
        </is>
      </c>
    </row>
    <row r="1175">
      <c r="A1175" s="4" t="n">
        <v>1172</v>
      </c>
      <c r="B1175" s="5" t="inlineStr">
        <is>
          <t>PJ-2026-1172</t>
        </is>
      </c>
      <c r="C1175" s="6" t="inlineStr">
        <is>
          <t>光明街老旧小区改造项目（四期）</t>
        </is>
      </c>
      <c r="D1175" s="4" t="inlineStr">
        <is>
          <t>孙娟</t>
        </is>
      </c>
      <c r="E1175" s="7" t="n">
        <v>2077</v>
      </c>
      <c r="F1175" s="7" t="n">
        <v>1121.58</v>
      </c>
      <c r="G1175" s="7">
        <f>E1175-F1175</f>
        <v/>
      </c>
      <c r="H1175" s="8">
        <f>IFERROR(F1175/E1175,0)</f>
        <v/>
      </c>
      <c r="I1175" s="4">
        <f>IF(H1175&gt;=1,"超预算",IF(H1175&gt;=0.9,"预警","正常"))</f>
        <v/>
      </c>
      <c r="J1175" s="4">
        <f>RANK(F1175,$F$4:$F$1203,0)</f>
        <v/>
      </c>
      <c r="K1175" s="4" t="inlineStr">
        <is>
          <t>待启动</t>
        </is>
      </c>
    </row>
    <row r="1176">
      <c r="A1176" s="4" t="n">
        <v>1173</v>
      </c>
      <c r="B1176" s="5" t="inlineStr">
        <is>
          <t>PJ-2026-1173</t>
        </is>
      </c>
      <c r="C1176" s="6" t="inlineStr">
        <is>
          <t>城东路智慧园区建设项目</t>
        </is>
      </c>
      <c r="D1176" s="4" t="inlineStr">
        <is>
          <t>马平</t>
        </is>
      </c>
      <c r="E1176" s="7" t="n">
        <v>2214</v>
      </c>
      <c r="F1176" s="7" t="n">
        <v>1837.62</v>
      </c>
      <c r="G1176" s="7">
        <f>E1176-F1176</f>
        <v/>
      </c>
      <c r="H1176" s="8">
        <f>IFERROR(F1176/E1176,0)</f>
        <v/>
      </c>
      <c r="I1176" s="4">
        <f>IF(H1176&gt;=1,"超预算",IF(H1176&gt;=0.9,"预警","正常"))</f>
        <v/>
      </c>
      <c r="J1176" s="4">
        <f>RANK(F1176,$F$4:$F$1203,0)</f>
        <v/>
      </c>
      <c r="K1176" s="4" t="inlineStr">
        <is>
          <t>完工</t>
        </is>
      </c>
    </row>
    <row r="1177">
      <c r="A1177" s="4" t="n">
        <v>1174</v>
      </c>
      <c r="B1177" s="5" t="inlineStr">
        <is>
          <t>PJ-2026-1174</t>
        </is>
      </c>
      <c r="C1177" s="6" t="inlineStr">
        <is>
          <t>解放路污水处理扩容工程（二期）</t>
        </is>
      </c>
      <c r="D1177" s="4" t="inlineStr">
        <is>
          <t>朱敏</t>
        </is>
      </c>
      <c r="E1177" s="7" t="n">
        <v>2351</v>
      </c>
      <c r="F1177" s="7" t="n">
        <v>2633.12</v>
      </c>
      <c r="G1177" s="7">
        <f>E1177-F1177</f>
        <v/>
      </c>
      <c r="H1177" s="8">
        <f>IFERROR(F1177/E1177,0)</f>
        <v/>
      </c>
      <c r="I1177" s="4">
        <f>IF(H1177&gt;=1,"超预算",IF(H1177&gt;=0.9,"预警","正常"))</f>
        <v/>
      </c>
      <c r="J1177" s="4">
        <f>RANK(F1177,$F$4:$F$1203,0)</f>
        <v/>
      </c>
      <c r="K1177" s="4" t="inlineStr">
        <is>
          <t>在建</t>
        </is>
      </c>
    </row>
    <row r="1178">
      <c r="A1178" s="4" t="n">
        <v>1175</v>
      </c>
      <c r="B1178" s="5" t="inlineStr">
        <is>
          <t>PJ-2026-1175</t>
        </is>
      </c>
      <c r="C1178" s="6" t="inlineStr">
        <is>
          <t>和平街供水管网更新工程（三期）</t>
        </is>
      </c>
      <c r="D1178" s="4" t="inlineStr">
        <is>
          <t>胡勇</t>
        </is>
      </c>
      <c r="E1178" s="7" t="n">
        <v>2488</v>
      </c>
      <c r="F1178" s="7" t="n">
        <v>1766.48</v>
      </c>
      <c r="G1178" s="7">
        <f>E1178-F1178</f>
        <v/>
      </c>
      <c r="H1178" s="8">
        <f>IFERROR(F1178/E1178,0)</f>
        <v/>
      </c>
      <c r="I1178" s="4">
        <f>IF(H1178&gt;=1,"超预算",IF(H1178&gt;=0.9,"预警","正常"))</f>
        <v/>
      </c>
      <c r="J1178" s="4">
        <f>RANK(F1178,$F$4:$F$1203,0)</f>
        <v/>
      </c>
      <c r="K1178" s="4" t="inlineStr">
        <is>
          <t>待启动</t>
        </is>
      </c>
    </row>
    <row r="1179">
      <c r="A1179" s="4" t="n">
        <v>1176</v>
      </c>
      <c r="B1179" s="5" t="inlineStr">
        <is>
          <t>PJ-2026-1176</t>
        </is>
      </c>
      <c r="C1179" s="6" t="inlineStr">
        <is>
          <t>光明街河道综合整治工程（四期）</t>
        </is>
      </c>
      <c r="D1179" s="4" t="inlineStr">
        <is>
          <t>郭秀</t>
        </is>
      </c>
      <c r="E1179" s="7" t="n">
        <v>2625</v>
      </c>
      <c r="F1179" s="7" t="n">
        <v>2625</v>
      </c>
      <c r="G1179" s="7">
        <f>E1179-F1179</f>
        <v/>
      </c>
      <c r="H1179" s="8">
        <f>IFERROR(F1179/E1179,0)</f>
        <v/>
      </c>
      <c r="I1179" s="4">
        <f>IF(H1179&gt;=1,"超预算",IF(H1179&gt;=0.9,"预警","正常"))</f>
        <v/>
      </c>
      <c r="J1179" s="4">
        <f>RANK(F1179,$F$4:$F$1203,0)</f>
        <v/>
      </c>
      <c r="K1179" s="4" t="inlineStr">
        <is>
          <t>完工</t>
        </is>
      </c>
    </row>
    <row r="1180">
      <c r="A1180" s="4" t="n">
        <v>1177</v>
      </c>
      <c r="B1180" s="5" t="inlineStr">
        <is>
          <t>PJ-2026-1177</t>
        </is>
      </c>
      <c r="C1180" s="6" t="inlineStr">
        <is>
          <t>城东路学校新建工程</t>
        </is>
      </c>
      <c r="D1180" s="4" t="inlineStr">
        <is>
          <t>何伟</t>
        </is>
      </c>
      <c r="E1180" s="7" t="n">
        <v>2762</v>
      </c>
      <c r="F1180" s="7" t="n">
        <v>1629.58</v>
      </c>
      <c r="G1180" s="7">
        <f>E1180-F1180</f>
        <v/>
      </c>
      <c r="H1180" s="8">
        <f>IFERROR(F1180/E1180,0)</f>
        <v/>
      </c>
      <c r="I1180" s="4">
        <f>IF(H1180&gt;=1,"超预算",IF(H1180&gt;=0.9,"预警","正常"))</f>
        <v/>
      </c>
      <c r="J1180" s="4">
        <f>RANK(F1180,$F$4:$F$1203,0)</f>
        <v/>
      </c>
      <c r="K1180" s="4" t="inlineStr">
        <is>
          <t>在建</t>
        </is>
      </c>
    </row>
    <row r="1181">
      <c r="A1181" s="4" t="n">
        <v>1178</v>
      </c>
      <c r="B1181" s="5" t="inlineStr">
        <is>
          <t>PJ-2026-1178</t>
        </is>
      </c>
      <c r="C1181" s="6" t="inlineStr">
        <is>
          <t>解放路医院改扩建项目（二期）</t>
        </is>
      </c>
      <c r="D1181" s="4" t="inlineStr">
        <is>
          <t>高磊</t>
        </is>
      </c>
      <c r="E1181" s="7" t="n">
        <v>2899</v>
      </c>
      <c r="F1181" s="7" t="n">
        <v>2551.12</v>
      </c>
      <c r="G1181" s="7">
        <f>E1181-F1181</f>
        <v/>
      </c>
      <c r="H1181" s="8">
        <f>IFERROR(F1181/E1181,0)</f>
        <v/>
      </c>
      <c r="I1181" s="4">
        <f>IF(H1181&gt;=1,"超预算",IF(H1181&gt;=0.9,"预警","正常"))</f>
        <v/>
      </c>
      <c r="J1181" s="4">
        <f>RANK(F1181,$F$4:$F$1203,0)</f>
        <v/>
      </c>
      <c r="K1181" s="4" t="inlineStr">
        <is>
          <t>待启动</t>
        </is>
      </c>
    </row>
    <row r="1182">
      <c r="A1182" s="4" t="n">
        <v>1179</v>
      </c>
      <c r="B1182" s="5" t="inlineStr">
        <is>
          <t>PJ-2026-1179</t>
        </is>
      </c>
      <c r="C1182" s="6" t="inlineStr">
        <is>
          <t>和平街公交枢纽建设工程（三期）</t>
        </is>
      </c>
      <c r="D1182" s="4" t="inlineStr">
        <is>
          <t>林涛</t>
        </is>
      </c>
      <c r="E1182" s="7" t="n">
        <v>3036</v>
      </c>
      <c r="F1182" s="7" t="n">
        <v>1426.92</v>
      </c>
      <c r="G1182" s="7">
        <f>E1182-F1182</f>
        <v/>
      </c>
      <c r="H1182" s="8">
        <f>IFERROR(F1182/E1182,0)</f>
        <v/>
      </c>
      <c r="I1182" s="4">
        <f>IF(H1182&gt;=1,"超预算",IF(H1182&gt;=0.9,"预警","正常"))</f>
        <v/>
      </c>
      <c r="J1182" s="4">
        <f>RANK(F1182,$F$4:$F$1203,0)</f>
        <v/>
      </c>
      <c r="K1182" s="4" t="inlineStr">
        <is>
          <t>完工</t>
        </is>
      </c>
    </row>
    <row r="1183">
      <c r="A1183" s="4" t="n">
        <v>1180</v>
      </c>
      <c r="B1183" s="5" t="inlineStr">
        <is>
          <t>PJ-2026-1180</t>
        </is>
      </c>
      <c r="C1183" s="6" t="inlineStr">
        <is>
          <t>光明街公共停车场建设工程（四期）</t>
        </is>
      </c>
      <c r="D1183" s="4" t="inlineStr">
        <is>
          <t>罗刚</t>
        </is>
      </c>
      <c r="E1183" s="7" t="n">
        <v>3173</v>
      </c>
      <c r="F1183" s="7" t="n">
        <v>2411.48</v>
      </c>
      <c r="G1183" s="7">
        <f>E1183-F1183</f>
        <v/>
      </c>
      <c r="H1183" s="8">
        <f>IFERROR(F1183/E1183,0)</f>
        <v/>
      </c>
      <c r="I1183" s="4">
        <f>IF(H1183&gt;=1,"超预算",IF(H1183&gt;=0.9,"预警","正常"))</f>
        <v/>
      </c>
      <c r="J1183" s="4">
        <f>RANK(F1183,$F$4:$F$1203,0)</f>
        <v/>
      </c>
      <c r="K1183" s="4" t="inlineStr">
        <is>
          <t>在建</t>
        </is>
      </c>
    </row>
    <row r="1184">
      <c r="A1184" s="4" t="n">
        <v>1181</v>
      </c>
      <c r="B1184" s="5" t="inlineStr">
        <is>
          <t>PJ-2026-1181</t>
        </is>
      </c>
      <c r="C1184" s="6" t="inlineStr">
        <is>
          <t>城东路道路改造工程</t>
        </is>
      </c>
      <c r="D1184" s="4" t="inlineStr">
        <is>
          <t>张静</t>
        </is>
      </c>
      <c r="E1184" s="7" t="n">
        <v>3310</v>
      </c>
      <c r="F1184" s="7" t="n">
        <v>3475.5</v>
      </c>
      <c r="G1184" s="7">
        <f>E1184-F1184</f>
        <v/>
      </c>
      <c r="H1184" s="8">
        <f>IFERROR(F1184/E1184,0)</f>
        <v/>
      </c>
      <c r="I1184" s="4">
        <f>IF(H1184&gt;=1,"超预算",IF(H1184&gt;=0.9,"预警","正常"))</f>
        <v/>
      </c>
      <c r="J1184" s="4">
        <f>RANK(F1184,$F$4:$F$1203,0)</f>
        <v/>
      </c>
      <c r="K1184" s="4" t="inlineStr">
        <is>
          <t>待启动</t>
        </is>
      </c>
    </row>
    <row r="1185">
      <c r="A1185" s="4" t="n">
        <v>1182</v>
      </c>
      <c r="B1185" s="5" t="inlineStr">
        <is>
          <t>PJ-2026-1182</t>
        </is>
      </c>
      <c r="C1185" s="6" t="inlineStr">
        <is>
          <t>解放路老旧小区改造项目（二期）</t>
        </is>
      </c>
      <c r="D1185" s="4" t="inlineStr">
        <is>
          <t>王艳</t>
        </is>
      </c>
      <c r="E1185" s="7" t="n">
        <v>3447</v>
      </c>
      <c r="F1185" s="7" t="n">
        <v>2206.08</v>
      </c>
      <c r="G1185" s="7">
        <f>E1185-F1185</f>
        <v/>
      </c>
      <c r="H1185" s="8">
        <f>IFERROR(F1185/E1185,0)</f>
        <v/>
      </c>
      <c r="I1185" s="4">
        <f>IF(H1185&gt;=1,"超预算",IF(H1185&gt;=0.9,"预警","正常"))</f>
        <v/>
      </c>
      <c r="J1185" s="4">
        <f>RANK(F1185,$F$4:$F$1203,0)</f>
        <v/>
      </c>
      <c r="K1185" s="4" t="inlineStr">
        <is>
          <t>完工</t>
        </is>
      </c>
    </row>
    <row r="1186">
      <c r="A1186" s="4" t="n">
        <v>1183</v>
      </c>
      <c r="B1186" s="5" t="inlineStr">
        <is>
          <t>PJ-2026-1183</t>
        </is>
      </c>
      <c r="C1186" s="6" t="inlineStr">
        <is>
          <t>和平街智慧园区建设项目（三期）</t>
        </is>
      </c>
      <c r="D1186" s="4" t="inlineStr">
        <is>
          <t>李英</t>
        </is>
      </c>
      <c r="E1186" s="7" t="n">
        <v>3584</v>
      </c>
      <c r="F1186" s="7" t="n">
        <v>3333.12</v>
      </c>
      <c r="G1186" s="7">
        <f>E1186-F1186</f>
        <v/>
      </c>
      <c r="H1186" s="8">
        <f>IFERROR(F1186/E1186,0)</f>
        <v/>
      </c>
      <c r="I1186" s="4">
        <f>IF(H1186&gt;=1,"超预算",IF(H1186&gt;=0.9,"预警","正常"))</f>
        <v/>
      </c>
      <c r="J1186" s="4">
        <f>RANK(F1186,$F$4:$F$1203,0)</f>
        <v/>
      </c>
      <c r="K1186" s="4" t="inlineStr">
        <is>
          <t>在建</t>
        </is>
      </c>
    </row>
    <row r="1187">
      <c r="A1187" s="4" t="n">
        <v>1184</v>
      </c>
      <c r="B1187" s="5" t="inlineStr">
        <is>
          <t>PJ-2026-1184</t>
        </is>
      </c>
      <c r="C1187" s="6" t="inlineStr">
        <is>
          <t>光明街污水处理扩容工程（四期）</t>
        </is>
      </c>
      <c r="D1187" s="4" t="inlineStr">
        <is>
          <t>赵芳</t>
        </is>
      </c>
      <c r="E1187" s="7" t="n">
        <v>3721</v>
      </c>
      <c r="F1187" s="7" t="n">
        <v>1934.92</v>
      </c>
      <c r="G1187" s="7">
        <f>E1187-F1187</f>
        <v/>
      </c>
      <c r="H1187" s="8">
        <f>IFERROR(F1187/E1187,0)</f>
        <v/>
      </c>
      <c r="I1187" s="4">
        <f>IF(H1187&gt;=1,"超预算",IF(H1187&gt;=0.9,"预警","正常"))</f>
        <v/>
      </c>
      <c r="J1187" s="4">
        <f>RANK(F1187,$F$4:$F$1203,0)</f>
        <v/>
      </c>
      <c r="K1187" s="4" t="inlineStr">
        <is>
          <t>待启动</t>
        </is>
      </c>
    </row>
    <row r="1188">
      <c r="A1188" s="4" t="n">
        <v>1185</v>
      </c>
      <c r="B1188" s="5" t="inlineStr">
        <is>
          <t>PJ-2026-1185</t>
        </is>
      </c>
      <c r="C1188" s="6" t="inlineStr">
        <is>
          <t>城东路供水管网更新工程</t>
        </is>
      </c>
      <c r="D1188" s="4" t="inlineStr">
        <is>
          <t>刘军</t>
        </is>
      </c>
      <c r="E1188" s="7" t="n">
        <v>3858</v>
      </c>
      <c r="F1188" s="7" t="n">
        <v>3124.98</v>
      </c>
      <c r="G1188" s="7">
        <f>E1188-F1188</f>
        <v/>
      </c>
      <c r="H1188" s="8">
        <f>IFERROR(F1188/E1188,0)</f>
        <v/>
      </c>
      <c r="I1188" s="4">
        <f>IF(H1188&gt;=1,"超预算",IF(H1188&gt;=0.9,"预警","正常"))</f>
        <v/>
      </c>
      <c r="J1188" s="4">
        <f>RANK(F1188,$F$4:$F$1203,0)</f>
        <v/>
      </c>
      <c r="K1188" s="4" t="inlineStr">
        <is>
          <t>完工</t>
        </is>
      </c>
    </row>
    <row r="1189">
      <c r="A1189" s="4" t="n">
        <v>1186</v>
      </c>
      <c r="B1189" s="5" t="inlineStr">
        <is>
          <t>PJ-2026-1186</t>
        </is>
      </c>
      <c r="C1189" s="6" t="inlineStr">
        <is>
          <t>解放路河道综合整治工程（二期）</t>
        </is>
      </c>
      <c r="D1189" s="4" t="inlineStr">
        <is>
          <t>陈明</t>
        </is>
      </c>
      <c r="E1189" s="7" t="n">
        <v>3995</v>
      </c>
      <c r="F1189" s="7" t="n">
        <v>4394.5</v>
      </c>
      <c r="G1189" s="7">
        <f>E1189-F1189</f>
        <v/>
      </c>
      <c r="H1189" s="8">
        <f>IFERROR(F1189/E1189,0)</f>
        <v/>
      </c>
      <c r="I1189" s="4">
        <f>IF(H1189&gt;=1,"超预算",IF(H1189&gt;=0.9,"预警","正常"))</f>
        <v/>
      </c>
      <c r="J1189" s="4">
        <f>RANK(F1189,$F$4:$F$1203,0)</f>
        <v/>
      </c>
      <c r="K1189" s="4" t="inlineStr">
        <is>
          <t>在建</t>
        </is>
      </c>
    </row>
    <row r="1190">
      <c r="A1190" s="4" t="n">
        <v>1187</v>
      </c>
      <c r="B1190" s="5" t="inlineStr">
        <is>
          <t>PJ-2026-1187</t>
        </is>
      </c>
      <c r="C1190" s="6" t="inlineStr">
        <is>
          <t>和平街学校新建工程（三期）</t>
        </is>
      </c>
      <c r="D1190" s="4" t="inlineStr">
        <is>
          <t>杨桂</t>
        </is>
      </c>
      <c r="E1190" s="7" t="n">
        <v>4132</v>
      </c>
      <c r="F1190" s="7" t="n">
        <v>2851.08</v>
      </c>
      <c r="G1190" s="7">
        <f>E1190-F1190</f>
        <v/>
      </c>
      <c r="H1190" s="8">
        <f>IFERROR(F1190/E1190,0)</f>
        <v/>
      </c>
      <c r="I1190" s="4">
        <f>IF(H1190&gt;=1,"超预算",IF(H1190&gt;=0.9,"预警","正常"))</f>
        <v/>
      </c>
      <c r="J1190" s="4">
        <f>RANK(F1190,$F$4:$F$1203,0)</f>
        <v/>
      </c>
      <c r="K1190" s="4" t="inlineStr">
        <is>
          <t>待启动</t>
        </is>
      </c>
    </row>
    <row r="1191">
      <c r="A1191" s="4" t="n">
        <v>1188</v>
      </c>
      <c r="B1191" s="5" t="inlineStr">
        <is>
          <t>PJ-2026-1188</t>
        </is>
      </c>
      <c r="C1191" s="6" t="inlineStr">
        <is>
          <t>光明街医院改扩建项目（四期）</t>
        </is>
      </c>
      <c r="D1191" s="4" t="inlineStr">
        <is>
          <t>黄丽</t>
        </is>
      </c>
      <c r="E1191" s="7" t="n">
        <v>4269</v>
      </c>
      <c r="F1191" s="7" t="n">
        <v>4183.62</v>
      </c>
      <c r="G1191" s="7">
        <f>E1191-F1191</f>
        <v/>
      </c>
      <c r="H1191" s="8">
        <f>IFERROR(F1191/E1191,0)</f>
        <v/>
      </c>
      <c r="I1191" s="4">
        <f>IF(H1191&gt;=1,"超预算",IF(H1191&gt;=0.9,"预警","正常"))</f>
        <v/>
      </c>
      <c r="J1191" s="4">
        <f>RANK(F1191,$F$4:$F$1203,0)</f>
        <v/>
      </c>
      <c r="K1191" s="4" t="inlineStr">
        <is>
          <t>完工</t>
        </is>
      </c>
    </row>
    <row r="1192">
      <c r="A1192" s="4" t="n">
        <v>1189</v>
      </c>
      <c r="B1192" s="5" t="inlineStr">
        <is>
          <t>PJ-2026-1189</t>
        </is>
      </c>
      <c r="C1192" s="6" t="inlineStr">
        <is>
          <t>城东路公交枢纽建设工程</t>
        </is>
      </c>
      <c r="D1192" s="4" t="inlineStr">
        <is>
          <t>周杰</t>
        </is>
      </c>
      <c r="E1192" s="7" t="n">
        <v>4406</v>
      </c>
      <c r="F1192" s="7" t="n">
        <v>2511.42</v>
      </c>
      <c r="G1192" s="7">
        <f>E1192-F1192</f>
        <v/>
      </c>
      <c r="H1192" s="8">
        <f>IFERROR(F1192/E1192,0)</f>
        <v/>
      </c>
      <c r="I1192" s="4">
        <f>IF(H1192&gt;=1,"超预算",IF(H1192&gt;=0.9,"预警","正常"))</f>
        <v/>
      </c>
      <c r="J1192" s="4">
        <f>RANK(F1192,$F$4:$F$1203,0)</f>
        <v/>
      </c>
      <c r="K1192" s="4" t="inlineStr">
        <is>
          <t>在建</t>
        </is>
      </c>
    </row>
    <row r="1193">
      <c r="A1193" s="4" t="n">
        <v>1190</v>
      </c>
      <c r="B1193" s="5" t="inlineStr">
        <is>
          <t>PJ-2026-1190</t>
        </is>
      </c>
      <c r="C1193" s="6" t="inlineStr">
        <is>
          <t>解放路公共停车场建设工程（二期）</t>
        </is>
      </c>
      <c r="D1193" s="4" t="inlineStr">
        <is>
          <t>吴霞</t>
        </is>
      </c>
      <c r="E1193" s="7" t="n">
        <v>4543</v>
      </c>
      <c r="F1193" s="7" t="n">
        <v>3906.98</v>
      </c>
      <c r="G1193" s="7">
        <f>E1193-F1193</f>
        <v/>
      </c>
      <c r="H1193" s="8">
        <f>IFERROR(F1193/E1193,0)</f>
        <v/>
      </c>
      <c r="I1193" s="4">
        <f>IF(H1193&gt;=1,"超预算",IF(H1193&gt;=0.9,"预警","正常"))</f>
        <v/>
      </c>
      <c r="J1193" s="4">
        <f>RANK(F1193,$F$4:$F$1203,0)</f>
        <v/>
      </c>
      <c r="K1193" s="4" t="inlineStr">
        <is>
          <t>待启动</t>
        </is>
      </c>
    </row>
    <row r="1194">
      <c r="A1194" s="4" t="n">
        <v>1191</v>
      </c>
      <c r="B1194" s="5" t="inlineStr">
        <is>
          <t>PJ-2026-1191</t>
        </is>
      </c>
      <c r="C1194" s="6" t="inlineStr">
        <is>
          <t>和平街道路改造工程（三期）</t>
        </is>
      </c>
      <c r="D1194" s="4" t="inlineStr">
        <is>
          <t>徐娜</t>
        </is>
      </c>
      <c r="E1194" s="7" t="n">
        <v>4680</v>
      </c>
      <c r="F1194" s="7" t="n">
        <v>2106</v>
      </c>
      <c r="G1194" s="7">
        <f>E1194-F1194</f>
        <v/>
      </c>
      <c r="H1194" s="8">
        <f>IFERROR(F1194/E1194,0)</f>
        <v/>
      </c>
      <c r="I1194" s="4">
        <f>IF(H1194&gt;=1,"超预算",IF(H1194&gt;=0.9,"预警","正常"))</f>
        <v/>
      </c>
      <c r="J1194" s="4">
        <f>RANK(F1194,$F$4:$F$1203,0)</f>
        <v/>
      </c>
      <c r="K1194" s="4" t="inlineStr">
        <is>
          <t>完工</t>
        </is>
      </c>
    </row>
    <row r="1195">
      <c r="A1195" s="4" t="n">
        <v>1192</v>
      </c>
      <c r="B1195" s="5" t="inlineStr">
        <is>
          <t>PJ-2026-1192</t>
        </is>
      </c>
      <c r="C1195" s="6" t="inlineStr">
        <is>
          <t>光明街老旧小区改造项目（四期）</t>
        </is>
      </c>
      <c r="D1195" s="4" t="inlineStr">
        <is>
          <t>孙洋</t>
        </is>
      </c>
      <c r="E1195" s="7" t="n">
        <v>4817</v>
      </c>
      <c r="F1195" s="7" t="n">
        <v>3564.58</v>
      </c>
      <c r="G1195" s="7">
        <f>E1195-F1195</f>
        <v/>
      </c>
      <c r="H1195" s="8">
        <f>IFERROR(F1195/E1195,0)</f>
        <v/>
      </c>
      <c r="I1195" s="4">
        <f>IF(H1195&gt;=1,"超预算",IF(H1195&gt;=0.9,"预警","正常"))</f>
        <v/>
      </c>
      <c r="J1195" s="4">
        <f>RANK(F1195,$F$4:$F$1203,0)</f>
        <v/>
      </c>
      <c r="K1195" s="4" t="inlineStr">
        <is>
          <t>在建</t>
        </is>
      </c>
    </row>
    <row r="1196">
      <c r="A1196" s="4" t="n">
        <v>1193</v>
      </c>
      <c r="B1196" s="5" t="inlineStr">
        <is>
          <t>PJ-2026-1193</t>
        </is>
      </c>
      <c r="C1196" s="6" t="inlineStr">
        <is>
          <t>城东路智慧园区建设项目</t>
        </is>
      </c>
      <c r="D1196" s="4" t="inlineStr">
        <is>
          <t>马超</t>
        </is>
      </c>
      <c r="E1196" s="7" t="n">
        <v>4954</v>
      </c>
      <c r="F1196" s="7" t="n">
        <v>5102.62</v>
      </c>
      <c r="G1196" s="7">
        <f>E1196-F1196</f>
        <v/>
      </c>
      <c r="H1196" s="8">
        <f>IFERROR(F1196/E1196,0)</f>
        <v/>
      </c>
      <c r="I1196" s="4">
        <f>IF(H1196&gt;=1,"超预算",IF(H1196&gt;=0.9,"预警","正常"))</f>
        <v/>
      </c>
      <c r="J1196" s="4">
        <f>RANK(F1196,$F$4:$F$1203,0)</f>
        <v/>
      </c>
      <c r="K1196" s="4" t="inlineStr">
        <is>
          <t>待启动</t>
        </is>
      </c>
    </row>
    <row r="1197">
      <c r="A1197" s="4" t="n">
        <v>1194</v>
      </c>
      <c r="B1197" s="5" t="inlineStr">
        <is>
          <t>PJ-2026-1194</t>
        </is>
      </c>
      <c r="C1197" s="6" t="inlineStr">
        <is>
          <t>解放路污水处理扩容工程（二期）</t>
        </is>
      </c>
      <c r="D1197" s="4" t="inlineStr">
        <is>
          <t>朱英</t>
        </is>
      </c>
      <c r="E1197" s="7" t="n">
        <v>141</v>
      </c>
      <c r="F1197" s="7" t="n">
        <v>87.42</v>
      </c>
      <c r="G1197" s="7">
        <f>E1197-F1197</f>
        <v/>
      </c>
      <c r="H1197" s="8">
        <f>IFERROR(F1197/E1197,0)</f>
        <v/>
      </c>
      <c r="I1197" s="4">
        <f>IF(H1197&gt;=1,"超预算",IF(H1197&gt;=0.9,"预警","正常"))</f>
        <v/>
      </c>
      <c r="J1197" s="4">
        <f>RANK(F1197,$F$4:$F$1203,0)</f>
        <v/>
      </c>
      <c r="K1197" s="4" t="inlineStr">
        <is>
          <t>完工</t>
        </is>
      </c>
    </row>
    <row r="1198">
      <c r="A1198" s="4" t="n">
        <v>1195</v>
      </c>
      <c r="B1198" s="5" t="inlineStr">
        <is>
          <t>PJ-2026-1195</t>
        </is>
      </c>
      <c r="C1198" s="6" t="inlineStr">
        <is>
          <t>和平街供水管网更新工程（三期）</t>
        </is>
      </c>
      <c r="D1198" s="4" t="inlineStr">
        <is>
          <t>胡强</t>
        </is>
      </c>
      <c r="E1198" s="7" t="n">
        <v>278</v>
      </c>
      <c r="F1198" s="7" t="n">
        <v>252.98</v>
      </c>
      <c r="G1198" s="7">
        <f>E1198-F1198</f>
        <v/>
      </c>
      <c r="H1198" s="8">
        <f>IFERROR(F1198/E1198,0)</f>
        <v/>
      </c>
      <c r="I1198" s="4">
        <f>IF(H1198&gt;=1,"超预算",IF(H1198&gt;=0.9,"预警","正常"))</f>
        <v/>
      </c>
      <c r="J1198" s="4">
        <f>RANK(F1198,$F$4:$F$1203,0)</f>
        <v/>
      </c>
      <c r="K1198" s="4" t="inlineStr">
        <is>
          <t>在建</t>
        </is>
      </c>
    </row>
    <row r="1199">
      <c r="A1199" s="4" t="n">
        <v>1196</v>
      </c>
      <c r="B1199" s="5" t="inlineStr">
        <is>
          <t>PJ-2026-1196</t>
        </is>
      </c>
      <c r="C1199" s="6" t="inlineStr">
        <is>
          <t>光明街河道综合整治工程（四期）</t>
        </is>
      </c>
      <c r="D1199" s="4" t="inlineStr">
        <is>
          <t>郭娟</t>
        </is>
      </c>
      <c r="E1199" s="7" t="n">
        <v>415</v>
      </c>
      <c r="F1199" s="7" t="n">
        <v>207.5</v>
      </c>
      <c r="G1199" s="7">
        <f>E1199-F1199</f>
        <v/>
      </c>
      <c r="H1199" s="8">
        <f>IFERROR(F1199/E1199,0)</f>
        <v/>
      </c>
      <c r="I1199" s="4">
        <f>IF(H1199&gt;=1,"超预算",IF(H1199&gt;=0.9,"预警","正常"))</f>
        <v/>
      </c>
      <c r="J1199" s="4">
        <f>RANK(F1199,$F$4:$F$1203,0)</f>
        <v/>
      </c>
      <c r="K1199" s="4" t="inlineStr">
        <is>
          <t>待启动</t>
        </is>
      </c>
    </row>
    <row r="1200">
      <c r="A1200" s="4" t="n">
        <v>1197</v>
      </c>
      <c r="B1200" s="5" t="inlineStr">
        <is>
          <t>PJ-2026-1197</t>
        </is>
      </c>
      <c r="C1200" s="6" t="inlineStr">
        <is>
          <t>城东路学校新建工程</t>
        </is>
      </c>
      <c r="D1200" s="4" t="inlineStr">
        <is>
          <t>何平</t>
        </is>
      </c>
      <c r="E1200" s="7" t="n">
        <v>552</v>
      </c>
      <c r="F1200" s="7" t="n">
        <v>436.08</v>
      </c>
      <c r="G1200" s="7">
        <f>E1200-F1200</f>
        <v/>
      </c>
      <c r="H1200" s="8">
        <f>IFERROR(F1200/E1200,0)</f>
        <v/>
      </c>
      <c r="I1200" s="4">
        <f>IF(H1200&gt;=1,"超预算",IF(H1200&gt;=0.9,"预警","正常"))</f>
        <v/>
      </c>
      <c r="J1200" s="4">
        <f>RANK(F1200,$F$4:$F$1203,0)</f>
        <v/>
      </c>
      <c r="K1200" s="4" t="inlineStr">
        <is>
          <t>完工</t>
        </is>
      </c>
    </row>
    <row r="1201">
      <c r="A1201" s="4" t="n">
        <v>1198</v>
      </c>
      <c r="B1201" s="5" t="inlineStr">
        <is>
          <t>PJ-2026-1198</t>
        </is>
      </c>
      <c r="C1201" s="6" t="inlineStr">
        <is>
          <t>解放路医院改扩建项目（二期）</t>
        </is>
      </c>
      <c r="D1201" s="4" t="inlineStr">
        <is>
          <t>高敏</t>
        </is>
      </c>
      <c r="E1201" s="7" t="n">
        <v>689</v>
      </c>
      <c r="F1201" s="7" t="n">
        <v>744.12</v>
      </c>
      <c r="G1201" s="7">
        <f>E1201-F1201</f>
        <v/>
      </c>
      <c r="H1201" s="8">
        <f>IFERROR(F1201/E1201,0)</f>
        <v/>
      </c>
      <c r="I1201" s="4">
        <f>IF(H1201&gt;=1,"超预算",IF(H1201&gt;=0.9,"预警","正常"))</f>
        <v/>
      </c>
      <c r="J1201" s="4">
        <f>RANK(F1201,$F$4:$F$1203,0)</f>
        <v/>
      </c>
      <c r="K1201" s="4" t="inlineStr">
        <is>
          <t>在建</t>
        </is>
      </c>
    </row>
    <row r="1202">
      <c r="A1202" s="4" t="n">
        <v>1199</v>
      </c>
      <c r="B1202" s="5" t="inlineStr">
        <is>
          <t>PJ-2026-1199</t>
        </is>
      </c>
      <c r="C1202" s="6" t="inlineStr">
        <is>
          <t>和平街公交枢纽建设工程（三期）</t>
        </is>
      </c>
      <c r="D1202" s="4" t="inlineStr">
        <is>
          <t>林勇</t>
        </is>
      </c>
      <c r="E1202" s="7" t="n">
        <v>826</v>
      </c>
      <c r="F1202" s="7" t="n">
        <v>553.42</v>
      </c>
      <c r="G1202" s="7">
        <f>E1202-F1202</f>
        <v/>
      </c>
      <c r="H1202" s="8">
        <f>IFERROR(F1202/E1202,0)</f>
        <v/>
      </c>
      <c r="I1202" s="4">
        <f>IF(H1202&gt;=1,"超预算",IF(H1202&gt;=0.9,"预警","正常"))</f>
        <v/>
      </c>
      <c r="J1202" s="4">
        <f>RANK(F1202,$F$4:$F$1203,0)</f>
        <v/>
      </c>
      <c r="K1202" s="4" t="inlineStr">
        <is>
          <t>待启动</t>
        </is>
      </c>
    </row>
    <row r="1203">
      <c r="A1203" s="4" t="n">
        <v>1200</v>
      </c>
      <c r="B1203" s="5" t="inlineStr">
        <is>
          <t>PJ-2026-1200</t>
        </is>
      </c>
      <c r="C1203" s="6" t="inlineStr">
        <is>
          <t>光明街公共停车场建设工程（四期）</t>
        </is>
      </c>
      <c r="D1203" s="4" t="inlineStr">
        <is>
          <t>罗秀</t>
        </is>
      </c>
      <c r="E1203" s="7" t="n">
        <v>963</v>
      </c>
      <c r="F1203" s="7" t="n">
        <v>924.48</v>
      </c>
      <c r="G1203" s="7">
        <f>E1203-F1203</f>
        <v/>
      </c>
      <c r="H1203" s="8">
        <f>IFERROR(F1203/E1203,0)</f>
        <v/>
      </c>
      <c r="I1203" s="4">
        <f>IF(H1203&gt;=1,"超预算",IF(H1203&gt;=0.9,"预警","正常"))</f>
        <v/>
      </c>
      <c r="J1203" s="4">
        <f>RANK(F1203,$F$4:$F$1203,0)</f>
        <v/>
      </c>
      <c r="K1203" s="4" t="inlineStr">
        <is>
          <t>完工</t>
        </is>
      </c>
    </row>
  </sheetData>
  <autoFilter ref="A4:K1203"/>
  <mergeCells count="2">
    <mergeCell ref="A2:K2"/>
    <mergeCell ref="A1:K1"/>
  </mergeCells>
  <conditionalFormatting sqref="H4:H1203">
    <cfRule type="iconSet" priority="1">
      <iconSet iconSet="3TrafficLights1">
        <cfvo type="percent" val="0"/>
        <cfvo type="percent" val="33"/>
        <cfvo type="percent" val="67"/>
      </iconSet>
    </cfRule>
  </conditionalFormatting>
  <conditionalFormatting sqref="F4:F1203">
    <cfRule type="dataBar" priority="2">
      <dataBar>
        <cfvo type="min"/>
        <cfvo type="max"/>
        <color rgb="0070AD47"/>
      </dataBar>
    </cfRule>
    <cfRule type="top10" rank="10" priority="3" dxfId="0"/>
  </conditionalFormatting>
  <conditionalFormatting sqref="I4:I1203">
    <cfRule type="cellIs" priority="4" operator="equal" dxfId="1">
      <formula>"超预算"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9" t="inlineStr">
        <is>
          <t>台账统计（公式引用「台账」表）</t>
        </is>
      </c>
    </row>
    <row r="3">
      <c r="A3" s="10" t="inlineStr">
        <is>
          <t>项目总数（个）</t>
        </is>
      </c>
      <c r="B3" s="11">
        <f>COUNTA(台账!B4:B1203)</f>
        <v/>
      </c>
    </row>
    <row r="4">
      <c r="A4" s="10" t="inlineStr">
        <is>
          <t>预算总额（万元）</t>
        </is>
      </c>
      <c r="B4" s="12">
        <f>SUM(台账!E4:E1203)</f>
        <v/>
      </c>
    </row>
    <row r="5">
      <c r="A5" s="10" t="inlineStr">
        <is>
          <t>支出总额（万元）</t>
        </is>
      </c>
      <c r="B5" s="12">
        <f>SUM(台账!F4:F1203)</f>
        <v/>
      </c>
    </row>
    <row r="6">
      <c r="A6" s="10" t="inlineStr">
        <is>
          <t>整体执行率</t>
        </is>
      </c>
      <c r="B6" s="13">
        <f>IFERROR(B5/B4,0)</f>
        <v/>
      </c>
    </row>
    <row r="7">
      <c r="A7" s="10" t="inlineStr">
        <is>
          <t>超预算项目数</t>
        </is>
      </c>
      <c r="B7" s="11">
        <f>COUNTIF(台账!I4:I1203,"超预算")</f>
        <v/>
      </c>
    </row>
    <row r="8">
      <c r="A8" s="10" t="inlineStr">
        <is>
          <t>预警项目数</t>
        </is>
      </c>
      <c r="B8" s="11">
        <f>COUNTIF(台账!I4:I1203,"预警")</f>
        <v/>
      </c>
    </row>
    <row r="9">
      <c r="A9" s="10" t="inlineStr">
        <is>
          <t>完工项目数</t>
        </is>
      </c>
      <c r="B9" s="11">
        <f>COUNTIF(台账!K4:K1203,"完工")</f>
        <v/>
      </c>
    </row>
    <row r="10">
      <c r="A10" s="10" t="inlineStr">
        <is>
          <t>单项目最高支出</t>
        </is>
      </c>
      <c r="B10" s="12">
        <f>MAX(台账!F4:F1203)</f>
        <v/>
      </c>
    </row>
    <row r="11">
      <c r="A11" s="10" t="inlineStr">
        <is>
          <t>单项目平均支出</t>
        </is>
      </c>
      <c r="B11" s="12">
        <f>AVERAGE(台账!F4:F1203)</f>
        <v/>
      </c>
    </row>
    <row r="12">
      <c r="A12" s="10" t="inlineStr">
        <is>
          <t>在建项目支出合计</t>
        </is>
      </c>
      <c r="B12" s="12">
        <f>SUMIFS(台账!F4:F1203,台账!K4:K1203,"在建")</f>
        <v/>
      </c>
    </row>
    <row r="13">
      <c r="A13" s="10" t="inlineStr">
        <is>
          <t>完工项目支出合计</t>
        </is>
      </c>
      <c r="B13" s="12">
        <f>SUMIFS(台账!F4:F1203,台账!K4:K1203,"完工")</f>
        <v/>
      </c>
    </row>
    <row r="14">
      <c r="A14" s="10" t="inlineStr">
        <is>
          <t>待启动项目支出合计</t>
        </is>
      </c>
      <c r="B14" s="12">
        <f>SUMIFS(台账!F4:F1203,台账!K4:K1203,"待启动")</f>
        <v/>
      </c>
    </row>
    <row r="16">
      <c r="A16" s="14" t="inlineStr">
        <is>
          <t>分状态统计（SUMIFS）</t>
        </is>
      </c>
    </row>
    <row r="17">
      <c r="A17" s="3" t="inlineStr">
        <is>
          <t>状态</t>
        </is>
      </c>
      <c r="B17" s="3" t="inlineStr">
        <is>
          <t>支出合计</t>
        </is>
      </c>
    </row>
    <row r="18">
      <c r="A18" s="4" t="inlineStr">
        <is>
          <t>在建</t>
        </is>
      </c>
      <c r="B18" s="7">
        <f>SUMIFS(台账!F4:F1203,台账!K4:K1203,"在建")</f>
        <v/>
      </c>
    </row>
    <row r="19">
      <c r="A19" s="4" t="inlineStr">
        <is>
          <t>完工</t>
        </is>
      </c>
      <c r="B19" s="7">
        <f>SUMIFS(台账!F4:F1203,台账!K4:K1203,"完工")</f>
        <v/>
      </c>
    </row>
    <row r="20">
      <c r="A20" s="4" t="inlineStr">
        <is>
          <t>待启动</t>
        </is>
      </c>
      <c r="B20" s="7">
        <f>SUMIFS(台账!F4:F1203,台账!K4:K1203,"待启动")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LibiaoLink PoC-10 (N1 fidelity samples)</dc:creator>
  <dcterms:created xmlns:dcterms="http://purl.org/dc/terms/" xmlns:xsi="http://www.w3.org/2001/XMLSchema-instance" xsi:type="dcterms:W3CDTF">2026-09-30T12:00:00Z</dcterms:created>
  <dcterms:modified xmlns:dcterms="http://purl.org/dc/terms/" xmlns:xsi="http://www.w3.org/2001/XMLSchema-instance" xsi:type="dcterms:W3CDTF">2026-09-30T12:00:00Z</dcterms:modified>
  <cp:lastModifiedBy>LibiaoLink PoC-10 (N1 fidelity samples)</cp:lastModifiedBy>
</cp:coreProperties>
</file>